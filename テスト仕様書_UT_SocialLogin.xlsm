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zhenghegong/Downloads/テスト/"/>
    </mc:Choice>
  </mc:AlternateContent>
  <xr:revisionPtr revIDLastSave="0" documentId="13_ncr:1_{D0761E64-3CFD-9B4C-ACF9-F33A8DC31612}" xr6:coauthVersionLast="47" xr6:coauthVersionMax="47" xr10:uidLastSave="{00000000-0000-0000-0000-000000000000}"/>
  <bookViews>
    <workbookView xWindow="0" yWindow="500" windowWidth="28800" windowHeight="17500" tabRatio="747" xr2:uid="{00000000-000D-0000-FFFF-FFFF00000000}"/>
  </bookViews>
  <sheets>
    <sheet name="テストケース　SSO" sheetId="18" r:id="rId1"/>
    <sheet name="サンプル" sheetId="16" r:id="rId2"/>
    <sheet name="ヘッダ" sheetId="17" r:id="rId3"/>
    <sheet name="仕様説明" sheetId="15" state="hidden" r:id="rId4"/>
    <sheet name="Config" sheetId="10" state="hidden" r:id="rId5"/>
    <sheet name="エラー情報" sheetId="11" state="hidden" r:id="rId6"/>
  </sheets>
  <functionGroups builtInGroupCount="19"/>
  <definedNames>
    <definedName name="_xlnm._FilterDatabase" localSheetId="1">サンプル!$A$9:$AO$153</definedName>
    <definedName name="_xlnm._FilterDatabase" localSheetId="0">'テストケース　SSO'!$A$9:$AO$136</definedName>
    <definedName name="_xlnm.Print_Area" localSheetId="1">サンプル!$A$1:$AA$156</definedName>
    <definedName name="_xlnm.Print_Area" localSheetId="0">'テストケース　SSO'!$A$1:$AA$137</definedName>
    <definedName name="_xlnm.Print_Area" localSheetId="3">仕様説明!$B$2:$AH$88</definedName>
    <definedName name="_xlnm.Print_Titles" localSheetId="1">サンプル!$1:$9</definedName>
    <definedName name="_xlnm.Print_Titles" localSheetId="0">'テストケース　SSO'!$1:$9</definedName>
    <definedName name="エラー領域">エラー情報!$A$2:$D$10000</definedName>
    <definedName name="シート名">Config!$B$1</definedName>
    <definedName name="テスト分類" localSheetId="0">ヘッダ!$G$9:$G$18</definedName>
    <definedName name="テスト分類" localSheetId="2">ヘッダ!$G$9:$G$18</definedName>
    <definedName name="テスト分類">#REF!</definedName>
    <definedName name="明細開始行" localSheetId="0">Config!$B$3</definedName>
    <definedName name="明細開始行" localSheetId="2">Config!$B$3</definedName>
    <definedName name="明細開始行">Config!$B$3</definedName>
    <definedName name="列_テストケースNo">Config!$B$6</definedName>
    <definedName name="列_一次検証実績日">Config!$B$8</definedName>
    <definedName name="列_一次検証予定日">Config!$B$7</definedName>
    <definedName name="列_最終行判断">Config!$B$15</definedName>
    <definedName name="列_削除日">Config!$B$14</definedName>
    <definedName name="列_三次検証実績日">Config!$B$12</definedName>
    <definedName name="列_三次検証予定日">Config!$B$11</definedName>
    <definedName name="列_追加日">Config!$B$13</definedName>
    <definedName name="列_二次検証実績日">Config!$B$10</definedName>
    <definedName name="列_二次検証予定日">Config!$B$9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5" i="18" l="1"/>
  <c r="B80" i="18"/>
  <c r="B87" i="18"/>
  <c r="B122" i="18"/>
  <c r="B115" i="18"/>
  <c r="B108" i="18"/>
  <c r="AS19" i="18"/>
  <c r="AS101" i="18" l="1"/>
  <c r="B101" i="18"/>
  <c r="AS133" i="18" l="1"/>
  <c r="B133" i="18"/>
  <c r="AS107" i="18"/>
  <c r="AS106" i="18"/>
  <c r="AS50" i="18"/>
  <c r="B49" i="18"/>
  <c r="AS137" i="18" l="1"/>
  <c r="B137" i="18"/>
  <c r="AS136" i="18"/>
  <c r="B136" i="18"/>
  <c r="AS135" i="18"/>
  <c r="B135" i="18"/>
  <c r="AS134" i="18"/>
  <c r="B134" i="18"/>
  <c r="AS104" i="18"/>
  <c r="AS103" i="18"/>
  <c r="AS100" i="18"/>
  <c r="AS98" i="18"/>
  <c r="B94" i="18"/>
  <c r="AS72" i="18"/>
  <c r="B72" i="18"/>
  <c r="AS71" i="18"/>
  <c r="AS64" i="18"/>
  <c r="B63" i="18"/>
  <c r="AS61" i="18"/>
  <c r="AS58" i="18"/>
  <c r="B56" i="18"/>
  <c r="AS40" i="18"/>
  <c r="B40" i="18"/>
  <c r="AS18" i="18"/>
  <c r="B18" i="18"/>
  <c r="AS10" i="18"/>
  <c r="B10" i="18"/>
  <c r="AH5" i="18"/>
  <c r="AG5" i="18"/>
  <c r="Z5" i="18" l="1"/>
  <c r="X5" i="18"/>
  <c r="R5" i="18"/>
  <c r="AA5" i="18"/>
  <c r="Q5" i="18"/>
  <c r="T5" i="18"/>
  <c r="V5" i="18"/>
  <c r="S5" i="18"/>
  <c r="O5" i="18"/>
  <c r="D5" i="18"/>
  <c r="M5" i="18"/>
  <c r="U5" i="18"/>
  <c r="N5" i="18"/>
  <c r="W5" i="18"/>
  <c r="P5" i="18"/>
  <c r="AS156" i="16" l="1"/>
  <c r="B156" i="16"/>
  <c r="AS155" i="16"/>
  <c r="B155" i="16"/>
  <c r="AS154" i="16"/>
  <c r="B154" i="16"/>
  <c r="AS153" i="16"/>
  <c r="B153" i="16"/>
  <c r="AS152" i="16"/>
  <c r="B152" i="16"/>
  <c r="AS151" i="16"/>
  <c r="B151" i="16"/>
  <c r="AS150" i="16"/>
  <c r="B150" i="16"/>
  <c r="AS149" i="16"/>
  <c r="B149" i="16"/>
  <c r="AS148" i="16"/>
  <c r="B148" i="16"/>
  <c r="AS147" i="16"/>
  <c r="B147" i="16"/>
  <c r="AS146" i="16"/>
  <c r="B146" i="16"/>
  <c r="AS145" i="16"/>
  <c r="B145" i="16"/>
  <c r="AS144" i="16"/>
  <c r="B144" i="16"/>
  <c r="AS143" i="16"/>
  <c r="B143" i="16"/>
  <c r="AS142" i="16"/>
  <c r="B142" i="16"/>
  <c r="AS141" i="16"/>
  <c r="B141" i="16"/>
  <c r="AS140" i="16"/>
  <c r="B140" i="16"/>
  <c r="AS139" i="16"/>
  <c r="B139" i="16"/>
  <c r="AS138" i="16"/>
  <c r="B138" i="16"/>
  <c r="AS137" i="16"/>
  <c r="B137" i="16"/>
  <c r="AS136" i="16"/>
  <c r="B136" i="16"/>
  <c r="AS135" i="16"/>
  <c r="B135" i="16"/>
  <c r="AS134" i="16"/>
  <c r="B134" i="16"/>
  <c r="AS133" i="16"/>
  <c r="B133" i="16"/>
  <c r="AS132" i="16"/>
  <c r="B132" i="16"/>
  <c r="AS131" i="16"/>
  <c r="B131" i="16"/>
  <c r="AS130" i="16"/>
  <c r="B130" i="16"/>
  <c r="AS129" i="16"/>
  <c r="B129" i="16"/>
  <c r="AS128" i="16"/>
  <c r="B128" i="16"/>
  <c r="AS127" i="16"/>
  <c r="B127" i="16"/>
  <c r="AS126" i="16"/>
  <c r="B126" i="16"/>
  <c r="AS125" i="16"/>
  <c r="B125" i="16"/>
  <c r="AS124" i="16"/>
  <c r="B124" i="16"/>
  <c r="AS123" i="16"/>
  <c r="B123" i="16"/>
  <c r="AS122" i="16"/>
  <c r="B122" i="16"/>
  <c r="AS121" i="16"/>
  <c r="B121" i="16"/>
  <c r="AS120" i="16"/>
  <c r="B120" i="16"/>
  <c r="AS119" i="16"/>
  <c r="B119" i="16"/>
  <c r="AS118" i="16"/>
  <c r="B118" i="16"/>
  <c r="AS117" i="16"/>
  <c r="B117" i="16"/>
  <c r="AS116" i="16"/>
  <c r="B116" i="16"/>
  <c r="AS115" i="16"/>
  <c r="B115" i="16"/>
  <c r="AS114" i="16"/>
  <c r="B114" i="16"/>
  <c r="AS113" i="16"/>
  <c r="B113" i="16"/>
  <c r="AS112" i="16"/>
  <c r="B112" i="16"/>
  <c r="AS111" i="16"/>
  <c r="B111" i="16"/>
  <c r="AS110" i="16"/>
  <c r="B110" i="16"/>
  <c r="AS109" i="16"/>
  <c r="B109" i="16"/>
  <c r="AS108" i="16"/>
  <c r="B108" i="16"/>
  <c r="AS107" i="16"/>
  <c r="B107" i="16"/>
  <c r="AS106" i="16"/>
  <c r="B106" i="16"/>
  <c r="AS105" i="16"/>
  <c r="B105" i="16"/>
  <c r="AS104" i="16"/>
  <c r="B104" i="16"/>
  <c r="AS103" i="16"/>
  <c r="B103" i="16"/>
  <c r="AS102" i="16"/>
  <c r="B102" i="16"/>
  <c r="AS101" i="16"/>
  <c r="B101" i="16"/>
  <c r="AS100" i="16"/>
  <c r="B100" i="16"/>
  <c r="AS99" i="16"/>
  <c r="B99" i="16"/>
  <c r="AS98" i="16"/>
  <c r="B98" i="16"/>
  <c r="AS97" i="16"/>
  <c r="B97" i="16"/>
  <c r="AS96" i="16"/>
  <c r="B96" i="16"/>
  <c r="AS95" i="16"/>
  <c r="B95" i="16"/>
  <c r="AS94" i="16"/>
  <c r="B94" i="16"/>
  <c r="AS93" i="16"/>
  <c r="B93" i="16"/>
  <c r="AS92" i="16"/>
  <c r="B92" i="16"/>
  <c r="AS91" i="16"/>
  <c r="B91" i="16"/>
  <c r="AS90" i="16"/>
  <c r="B90" i="16"/>
  <c r="AS89" i="16"/>
  <c r="B89" i="16"/>
  <c r="AS88" i="16"/>
  <c r="B88" i="16"/>
  <c r="AS87" i="16"/>
  <c r="B87" i="16"/>
  <c r="AS86" i="16"/>
  <c r="B86" i="16"/>
  <c r="AS85" i="16"/>
  <c r="B85" i="16"/>
  <c r="AS84" i="16"/>
  <c r="B84" i="16"/>
  <c r="AS83" i="16"/>
  <c r="B83" i="16"/>
  <c r="AS82" i="16"/>
  <c r="B82" i="16"/>
  <c r="AS81" i="16"/>
  <c r="B81" i="16"/>
  <c r="AS80" i="16"/>
  <c r="B80" i="16"/>
  <c r="AS79" i="16"/>
  <c r="B79" i="16"/>
  <c r="AS78" i="16"/>
  <c r="B78" i="16"/>
  <c r="AS77" i="16"/>
  <c r="B77" i="16"/>
  <c r="AS76" i="16"/>
  <c r="B76" i="16"/>
  <c r="AS75" i="16"/>
  <c r="B75" i="16"/>
  <c r="AS74" i="16"/>
  <c r="B74" i="16"/>
  <c r="AS73" i="16"/>
  <c r="B73" i="16"/>
  <c r="AS72" i="16"/>
  <c r="B72" i="16"/>
  <c r="AS71" i="16"/>
  <c r="B71" i="16"/>
  <c r="AS70" i="16"/>
  <c r="B70" i="16"/>
  <c r="AS69" i="16"/>
  <c r="B69" i="16"/>
  <c r="AS68" i="16"/>
  <c r="B68" i="16"/>
  <c r="AS67" i="16"/>
  <c r="B67" i="16"/>
  <c r="AS66" i="16"/>
  <c r="B66" i="16"/>
  <c r="AS65" i="16"/>
  <c r="B65" i="16"/>
  <c r="AS64" i="16"/>
  <c r="B64" i="16"/>
  <c r="AS63" i="16"/>
  <c r="B63" i="16"/>
  <c r="AS62" i="16"/>
  <c r="B62" i="16"/>
  <c r="AS61" i="16"/>
  <c r="B61" i="16"/>
  <c r="AS60" i="16"/>
  <c r="B60" i="16"/>
  <c r="AS59" i="16"/>
  <c r="B59" i="16"/>
  <c r="AS58" i="16"/>
  <c r="B58" i="16"/>
  <c r="AS57" i="16"/>
  <c r="B57" i="16"/>
  <c r="AS56" i="16"/>
  <c r="B56" i="16"/>
  <c r="AS55" i="16"/>
  <c r="B55" i="16"/>
  <c r="AS54" i="16"/>
  <c r="B54" i="16"/>
  <c r="AS53" i="16"/>
  <c r="B53" i="16"/>
  <c r="AS52" i="16"/>
  <c r="B52" i="16"/>
  <c r="AS51" i="16"/>
  <c r="B51" i="16"/>
  <c r="AS50" i="16"/>
  <c r="B50" i="16"/>
  <c r="AS49" i="16"/>
  <c r="B49" i="16"/>
  <c r="AS48" i="16"/>
  <c r="B48" i="16"/>
  <c r="AS47" i="16"/>
  <c r="B47" i="16"/>
  <c r="AS46" i="16"/>
  <c r="B46" i="16"/>
  <c r="AS45" i="16"/>
  <c r="B45" i="16"/>
  <c r="AS44" i="16"/>
  <c r="B44" i="16"/>
  <c r="AS43" i="16"/>
  <c r="B43" i="16"/>
  <c r="AS42" i="16"/>
  <c r="B42" i="16"/>
  <c r="AS41" i="16"/>
  <c r="B41" i="16"/>
  <c r="AS40" i="16"/>
  <c r="B40" i="16"/>
  <c r="AS39" i="16"/>
  <c r="B39" i="16"/>
  <c r="AS38" i="16"/>
  <c r="B38" i="16"/>
  <c r="AS37" i="16"/>
  <c r="B37" i="16"/>
  <c r="AS36" i="16"/>
  <c r="B36" i="16"/>
  <c r="AS35" i="16"/>
  <c r="B35" i="16"/>
  <c r="AS34" i="16"/>
  <c r="B34" i="16"/>
  <c r="AS33" i="16"/>
  <c r="B33" i="16"/>
  <c r="AS32" i="16"/>
  <c r="B32" i="16"/>
  <c r="AS31" i="16"/>
  <c r="B31" i="16"/>
  <c r="AS30" i="16"/>
  <c r="B30" i="16"/>
  <c r="AS29" i="16"/>
  <c r="B29" i="16"/>
  <c r="AS28" i="16"/>
  <c r="B28" i="16"/>
  <c r="AS27" i="16"/>
  <c r="B27" i="16"/>
  <c r="AS26" i="16"/>
  <c r="B26" i="16"/>
  <c r="AS25" i="16"/>
  <c r="B25" i="16"/>
  <c r="AS24" i="16"/>
  <c r="B24" i="16"/>
  <c r="AS23" i="16"/>
  <c r="B23" i="16"/>
  <c r="AS22" i="16"/>
  <c r="B22" i="16"/>
  <c r="AS21" i="16"/>
  <c r="B21" i="16"/>
  <c r="AS20" i="16"/>
  <c r="B20" i="16"/>
  <c r="AS19" i="16"/>
  <c r="B19" i="16"/>
  <c r="AS18" i="16"/>
  <c r="B18" i="16"/>
  <c r="AS17" i="16"/>
  <c r="B17" i="16"/>
  <c r="AS16" i="16"/>
  <c r="B16" i="16"/>
  <c r="AS15" i="16"/>
  <c r="B15" i="16"/>
  <c r="AS14" i="16"/>
  <c r="B14" i="16"/>
  <c r="AS13" i="16"/>
  <c r="B13" i="16"/>
  <c r="AS12" i="16"/>
  <c r="B12" i="16"/>
  <c r="AS11" i="16"/>
  <c r="B11" i="16"/>
  <c r="AS10" i="16"/>
  <c r="B10" i="16"/>
  <c r="AH5" i="16"/>
  <c r="AG5" i="16"/>
  <c r="V5" i="16" s="1"/>
  <c r="U5" i="16" l="1"/>
  <c r="W5" i="16"/>
  <c r="D5" i="16"/>
  <c r="M5" i="16"/>
  <c r="Z5" i="16"/>
  <c r="X5" i="16"/>
  <c r="N5" i="16"/>
  <c r="AA5" i="16"/>
  <c r="O5" i="16"/>
  <c r="P5" i="16"/>
  <c r="Q5" i="16"/>
  <c r="R5" i="16"/>
  <c r="S5" i="16"/>
  <c r="T5"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D5" authorId="0" shapeId="0" xr:uid="{EED52423-6E88-47FB-90CB-B375E6E261F1}">
      <text>
        <r>
          <rPr>
            <sz val="9"/>
            <color indexed="81"/>
            <rFont val="ＭＳ Ｐゴシック"/>
            <family val="3"/>
            <charset val="128"/>
          </rPr>
          <t xml:space="preserve">この関数仕様については以下を参照。
→３．個別機能の仕様　総件数算出関数
</t>
        </r>
      </text>
    </comment>
    <comment ref="B7" authorId="0" shapeId="0" xr:uid="{C02D9238-0EA2-47B6-9B30-4C5CB7CE4896}">
      <text>
        <r>
          <rPr>
            <sz val="9"/>
            <color rgb="FF000000"/>
            <rFont val="ＭＳ Ｐゴシック"/>
            <family val="2"/>
            <charset val="128"/>
          </rPr>
          <t>IT</t>
        </r>
        <r>
          <rPr>
            <sz val="9"/>
            <color rgb="FF000000"/>
            <rFont val="ＭＳ Ｐゴシック"/>
            <family val="2"/>
            <charset val="128"/>
          </rPr>
          <t>・</t>
        </r>
        <r>
          <rPr>
            <sz val="9"/>
            <color rgb="FF000000"/>
            <rFont val="ＭＳ Ｐゴシック"/>
            <family val="2"/>
            <charset val="128"/>
          </rPr>
          <t>ST</t>
        </r>
        <r>
          <rPr>
            <sz val="9"/>
            <color rgb="FF000000"/>
            <rFont val="ＭＳ Ｐゴシック"/>
            <family val="2"/>
            <charset val="128"/>
          </rPr>
          <t>工程のテストケースを作成する場合は、機能は</t>
        </r>
        <r>
          <rPr>
            <b/>
            <sz val="9"/>
            <color rgb="FF000000"/>
            <rFont val="ＭＳ Ｐゴシック"/>
            <family val="2"/>
            <charset val="128"/>
          </rPr>
          <t>必須</t>
        </r>
        <r>
          <rPr>
            <sz val="9"/>
            <color rgb="FF000000"/>
            <rFont val="ＭＳ Ｐゴシック"/>
            <family val="2"/>
            <charset val="128"/>
          </rPr>
          <t>項目です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D5" authorId="0" shapeId="0" xr:uid="{367463FD-AF2D-4DD2-BA59-BA9C937A11F4}">
      <text>
        <r>
          <rPr>
            <sz val="9"/>
            <color indexed="81"/>
            <rFont val="ＭＳ Ｐゴシック"/>
            <family val="3"/>
            <charset val="128"/>
          </rPr>
          <t xml:space="preserve">この関数仕様については以下を参照。
→３．個別機能の仕様　総件数算出関数
</t>
        </r>
      </text>
    </comment>
    <comment ref="B7" authorId="0" shapeId="0" xr:uid="{A558C3D7-B615-4C4E-BDF5-E4C7FA80780F}">
      <text>
        <r>
          <rPr>
            <sz val="9"/>
            <color indexed="81"/>
            <rFont val="ＭＳ Ｐゴシック"/>
            <family val="3"/>
            <charset val="128"/>
          </rPr>
          <t>IT・ST工程のテストケースを作成する場合は、機能は</t>
        </r>
        <r>
          <rPr>
            <b/>
            <sz val="9"/>
            <color indexed="81"/>
            <rFont val="ＭＳ Ｐゴシック"/>
            <family val="3"/>
            <charset val="128"/>
          </rPr>
          <t>必須</t>
        </r>
        <r>
          <rPr>
            <sz val="9"/>
            <color indexed="81"/>
            <rFont val="ＭＳ Ｐゴシック"/>
            <family val="3"/>
            <charset val="128"/>
          </rPr>
          <t>項目です</t>
        </r>
      </text>
    </comment>
  </commentList>
</comments>
</file>

<file path=xl/sharedStrings.xml><?xml version="1.0" encoding="utf-8"?>
<sst xmlns="http://schemas.openxmlformats.org/spreadsheetml/2006/main" count="750" uniqueCount="428">
  <si>
    <t>総件数</t>
    <rPh sb="0" eb="3">
      <t>ソウケンスウ</t>
    </rPh>
    <phoneticPr fontId="2"/>
  </si>
  <si>
    <t>不具合番号</t>
    <rPh sb="0" eb="3">
      <t>フグアイ</t>
    </rPh>
    <rPh sb="3" eb="5">
      <t>バンゴウ</t>
    </rPh>
    <phoneticPr fontId="2"/>
  </si>
  <si>
    <t>備考</t>
    <rPh sb="0" eb="2">
      <t>ビコウ</t>
    </rPh>
    <phoneticPr fontId="2"/>
  </si>
  <si>
    <t>追加</t>
    <rPh sb="0" eb="2">
      <t>ツイカ</t>
    </rPh>
    <phoneticPr fontId="2"/>
  </si>
  <si>
    <t>削除</t>
    <rPh sb="0" eb="2">
      <t>サクジョ</t>
    </rPh>
    <phoneticPr fontId="2"/>
  </si>
  <si>
    <t>ヘッダ</t>
    <phoneticPr fontId="2"/>
  </si>
  <si>
    <t>ＰＪ名</t>
    <phoneticPr fontId="2"/>
  </si>
  <si>
    <t>工程</t>
    <rPh sb="0" eb="2">
      <t>コウテイ</t>
    </rPh>
    <phoneticPr fontId="1"/>
  </si>
  <si>
    <t>作成者</t>
    <rPh sb="0" eb="3">
      <t>サクセイシャ</t>
    </rPh>
    <phoneticPr fontId="1"/>
  </si>
  <si>
    <t>作成日</t>
    <phoneticPr fontId="2"/>
  </si>
  <si>
    <t>変更者</t>
    <rPh sb="0" eb="2">
      <t>ヘンコウ</t>
    </rPh>
    <rPh sb="2" eb="3">
      <t>シャ</t>
    </rPh>
    <phoneticPr fontId="1"/>
  </si>
  <si>
    <t>変更日</t>
    <rPh sb="0" eb="2">
      <t>ヘンコウ</t>
    </rPh>
    <rPh sb="2" eb="3">
      <t>ヒ</t>
    </rPh>
    <phoneticPr fontId="2"/>
  </si>
  <si>
    <t>成果物名</t>
    <rPh sb="0" eb="3">
      <t>セイカブツ</t>
    </rPh>
    <rPh sb="3" eb="4">
      <t>メイ</t>
    </rPh>
    <phoneticPr fontId="2"/>
  </si>
  <si>
    <t>確認者</t>
    <rPh sb="0" eb="2">
      <t>カクニン</t>
    </rPh>
    <rPh sb="2" eb="3">
      <t>シャ</t>
    </rPh>
    <phoneticPr fontId="2"/>
  </si>
  <si>
    <t>確認日</t>
    <rPh sb="0" eb="2">
      <t>カクニン</t>
    </rPh>
    <rPh sb="2" eb="3">
      <t>ヒ</t>
    </rPh>
    <phoneticPr fontId="2"/>
  </si>
  <si>
    <t>END_LINE</t>
    <phoneticPr fontId="2"/>
  </si>
  <si>
    <t>合格条件</t>
    <rPh sb="0" eb="2">
      <t>ゴウカク</t>
    </rPh>
    <rPh sb="2" eb="4">
      <t>ジョウケン</t>
    </rPh>
    <phoneticPr fontId="2"/>
  </si>
  <si>
    <t>予定</t>
    <rPh sb="0" eb="2">
      <t>ヨテイ</t>
    </rPh>
    <phoneticPr fontId="2"/>
  </si>
  <si>
    <t>実績</t>
    <rPh sb="0" eb="2">
      <t>ジッセキ</t>
    </rPh>
    <phoneticPr fontId="2"/>
  </si>
  <si>
    <t>当初予定</t>
    <rPh sb="0" eb="2">
      <t>トウショ</t>
    </rPh>
    <rPh sb="2" eb="4">
      <t>ヨテイ</t>
    </rPh>
    <phoneticPr fontId="2"/>
  </si>
  <si>
    <t>２次検証</t>
    <phoneticPr fontId="1"/>
  </si>
  <si>
    <t>■管理用■</t>
    <rPh sb="1" eb="4">
      <t>カンリヨウ</t>
    </rPh>
    <phoneticPr fontId="1"/>
  </si>
  <si>
    <t>◆◆　仕様説明　◆◆</t>
    <rPh sb="3" eb="5">
      <t>シヨウ</t>
    </rPh>
    <rPh sb="5" eb="7">
      <t>セツメイ</t>
    </rPh>
    <phoneticPr fontId="2"/>
  </si>
  <si>
    <t>↓別ファイルのマクロを使用し入力↓</t>
  </si>
  <si>
    <t>主管サブシステム</t>
    <rPh sb="0" eb="2">
      <t>シュカン</t>
    </rPh>
    <phoneticPr fontId="2"/>
  </si>
  <si>
    <t>プロジェクト
関係者外秘</t>
    <phoneticPr fontId="2"/>
  </si>
  <si>
    <t>総件数</t>
    <rPh sb="0" eb="3">
      <t>ソウケンスウ</t>
    </rPh>
    <phoneticPr fontId="1"/>
  </si>
  <si>
    <t>機能ＩＤ</t>
    <rPh sb="0" eb="2">
      <t>キノウ</t>
    </rPh>
    <phoneticPr fontId="2"/>
  </si>
  <si>
    <t>テスト分類</t>
    <rPh sb="3" eb="5">
      <t>ブンルイ</t>
    </rPh>
    <phoneticPr fontId="2"/>
  </si>
  <si>
    <t>テスト分類</t>
    <rPh sb="3" eb="5">
      <t>ブンルイ</t>
    </rPh>
    <phoneticPr fontId="1"/>
  </si>
  <si>
    <t>01_自動テスト</t>
  </si>
  <si>
    <t>02_単体テスト</t>
  </si>
  <si>
    <t>03_サブシステム間結合テスト</t>
  </si>
  <si>
    <t>04_サブシステム内結合テスト</t>
  </si>
  <si>
    <t>05_業務シナリオテスト</t>
  </si>
  <si>
    <t>06_運用テスト</t>
  </si>
  <si>
    <t>07_性能テスト</t>
  </si>
  <si>
    <t>08_外部接続テスト</t>
  </si>
  <si>
    <t>09_新旧比較テスト</t>
  </si>
  <si>
    <t>10_基盤テスト</t>
  </si>
  <si>
    <t>テスト分類</t>
    <rPh sb="3" eb="5">
      <t>ブンルイ</t>
    </rPh>
    <phoneticPr fontId="3"/>
  </si>
  <si>
    <t>シート名</t>
    <rPh sb="3" eb="4">
      <t>メイ</t>
    </rPh>
    <phoneticPr fontId="1"/>
  </si>
  <si>
    <t>（先頭文字列一致）</t>
    <phoneticPr fontId="1"/>
  </si>
  <si>
    <t>一次検証予定日</t>
    <rPh sb="0" eb="2">
      <t>イチジ</t>
    </rPh>
    <rPh sb="2" eb="4">
      <t>ケンショウ</t>
    </rPh>
    <rPh sb="4" eb="7">
      <t>ヨテイビ</t>
    </rPh>
    <phoneticPr fontId="1"/>
  </si>
  <si>
    <t>一次検証実績日</t>
    <rPh sb="0" eb="2">
      <t>イチジ</t>
    </rPh>
    <rPh sb="2" eb="4">
      <t>ケンショウ</t>
    </rPh>
    <rPh sb="4" eb="6">
      <t>ジッセキ</t>
    </rPh>
    <rPh sb="6" eb="7">
      <t>ビ</t>
    </rPh>
    <phoneticPr fontId="1"/>
  </si>
  <si>
    <t>二次検証予定日</t>
    <rPh sb="0" eb="1">
      <t>ニ</t>
    </rPh>
    <rPh sb="1" eb="2">
      <t>ジ</t>
    </rPh>
    <rPh sb="2" eb="4">
      <t>ケンショウ</t>
    </rPh>
    <rPh sb="4" eb="7">
      <t>ヨテイビ</t>
    </rPh>
    <phoneticPr fontId="1"/>
  </si>
  <si>
    <t>二次検証実績日</t>
    <rPh sb="2" eb="4">
      <t>ケンショウ</t>
    </rPh>
    <rPh sb="4" eb="6">
      <t>ジッセキ</t>
    </rPh>
    <rPh sb="6" eb="7">
      <t>ビ</t>
    </rPh>
    <phoneticPr fontId="1"/>
  </si>
  <si>
    <t>三次検証予定日</t>
    <rPh sb="0" eb="1">
      <t>サン</t>
    </rPh>
    <rPh sb="1" eb="2">
      <t>ジ</t>
    </rPh>
    <rPh sb="2" eb="4">
      <t>ケンショウ</t>
    </rPh>
    <rPh sb="4" eb="7">
      <t>ヨテイビ</t>
    </rPh>
    <phoneticPr fontId="1"/>
  </si>
  <si>
    <t>三次検証実績日</t>
    <rPh sb="2" eb="4">
      <t>ケンショウ</t>
    </rPh>
    <rPh sb="4" eb="6">
      <t>ジッセキ</t>
    </rPh>
    <rPh sb="6" eb="7">
      <t>ビ</t>
    </rPh>
    <phoneticPr fontId="1"/>
  </si>
  <si>
    <t>追加日</t>
    <rPh sb="0" eb="2">
      <t>ツイカ</t>
    </rPh>
    <rPh sb="2" eb="3">
      <t>ビ</t>
    </rPh>
    <phoneticPr fontId="1"/>
  </si>
  <si>
    <t>削除日</t>
    <rPh sb="0" eb="2">
      <t>サクジョ</t>
    </rPh>
    <rPh sb="2" eb="3">
      <t>ビ</t>
    </rPh>
    <phoneticPr fontId="1"/>
  </si>
  <si>
    <t>項目名</t>
    <rPh sb="0" eb="2">
      <t>コウモク</t>
    </rPh>
    <rPh sb="2" eb="3">
      <t>メイ</t>
    </rPh>
    <phoneticPr fontId="1"/>
  </si>
  <si>
    <t>列情報</t>
    <rPh sb="0" eb="1">
      <t>レツ</t>
    </rPh>
    <rPh sb="1" eb="3">
      <t>ジョウホウ</t>
    </rPh>
    <phoneticPr fontId="1"/>
  </si>
  <si>
    <t>テストケース</t>
    <phoneticPr fontId="1"/>
  </si>
  <si>
    <t>明細開始行</t>
    <rPh sb="0" eb="2">
      <t>メイサイ</t>
    </rPh>
    <rPh sb="2" eb="4">
      <t>カイシ</t>
    </rPh>
    <rPh sb="4" eb="5">
      <t>ギョウ</t>
    </rPh>
    <phoneticPr fontId="1"/>
  </si>
  <si>
    <t>最終行判断</t>
    <rPh sb="0" eb="3">
      <t>サイシュウギョウ</t>
    </rPh>
    <rPh sb="3" eb="5">
      <t>ハンダン</t>
    </rPh>
    <phoneticPr fontId="1"/>
  </si>
  <si>
    <t>C</t>
    <phoneticPr fontId="1"/>
  </si>
  <si>
    <t>D</t>
    <phoneticPr fontId="1"/>
  </si>
  <si>
    <t>O</t>
    <phoneticPr fontId="1"/>
  </si>
  <si>
    <t>P</t>
    <phoneticPr fontId="1"/>
  </si>
  <si>
    <t>R</t>
    <phoneticPr fontId="1"/>
  </si>
  <si>
    <t>S</t>
    <phoneticPr fontId="1"/>
  </si>
  <si>
    <t>U</t>
    <phoneticPr fontId="1"/>
  </si>
  <si>
    <t>V</t>
    <phoneticPr fontId="1"/>
  </si>
  <si>
    <t>Z</t>
    <phoneticPr fontId="1"/>
  </si>
  <si>
    <t>AA</t>
    <phoneticPr fontId="1"/>
  </si>
  <si>
    <t>テストケースNo.</t>
    <phoneticPr fontId="1"/>
  </si>
  <si>
    <t>セル情報</t>
    <rPh sb="2" eb="4">
      <t>ジョウホウ</t>
    </rPh>
    <phoneticPr fontId="1"/>
  </si>
  <si>
    <t>エラー内容</t>
    <rPh sb="3" eb="5">
      <t>ナイヨウ</t>
    </rPh>
    <phoneticPr fontId="1"/>
  </si>
  <si>
    <t>シート情報</t>
    <rPh sb="3" eb="5">
      <t>ジョウホウ</t>
    </rPh>
    <phoneticPr fontId="1"/>
  </si>
  <si>
    <t>セル値</t>
    <rPh sb="2" eb="3">
      <t>アタイ</t>
    </rPh>
    <phoneticPr fontId="1"/>
  </si>
  <si>
    <t>・検証実績日が設定されており、検証予定日が設定されていない場合</t>
    <rPh sb="1" eb="3">
      <t>ケンショウ</t>
    </rPh>
    <rPh sb="3" eb="5">
      <t>ジッセキ</t>
    </rPh>
    <rPh sb="5" eb="6">
      <t>ビ</t>
    </rPh>
    <rPh sb="7" eb="9">
      <t>セッテイ</t>
    </rPh>
    <rPh sb="15" eb="17">
      <t>ケンショウ</t>
    </rPh>
    <rPh sb="17" eb="20">
      <t>ヨテイビ</t>
    </rPh>
    <rPh sb="21" eb="23">
      <t>セッテイ</t>
    </rPh>
    <rPh sb="29" eb="31">
      <t>バアイ</t>
    </rPh>
    <phoneticPr fontId="1"/>
  </si>
  <si>
    <t>ケース実施/１次検証</t>
    <rPh sb="3" eb="5">
      <t>ジッシ</t>
    </rPh>
    <phoneticPr fontId="1"/>
  </si>
  <si>
    <t>３次検証</t>
    <phoneticPr fontId="1"/>
  </si>
  <si>
    <t>総件数行</t>
    <rPh sb="0" eb="1">
      <t>ソウ</t>
    </rPh>
    <rPh sb="1" eb="3">
      <t>ケンスウ</t>
    </rPh>
    <rPh sb="3" eb="4">
      <t>ギョウ</t>
    </rPh>
    <phoneticPr fontId="1"/>
  </si>
  <si>
    <t>明細終了行</t>
    <rPh sb="0" eb="2">
      <t>メイサイ</t>
    </rPh>
    <rPh sb="2" eb="4">
      <t>シュウリョウ</t>
    </rPh>
    <rPh sb="4" eb="5">
      <t>ギョウ</t>
    </rPh>
    <phoneticPr fontId="1"/>
  </si>
  <si>
    <t>総件数算出用Work</t>
    <rPh sb="0" eb="1">
      <t>ソウ</t>
    </rPh>
    <rPh sb="1" eb="3">
      <t>ケンスウ</t>
    </rPh>
    <rPh sb="3" eb="5">
      <t>サンシュツ</t>
    </rPh>
    <rPh sb="5" eb="6">
      <t>ヨウ</t>
    </rPh>
    <phoneticPr fontId="1"/>
  </si>
  <si>
    <t>例）</t>
    <rPh sb="0" eb="1">
      <t>レイ</t>
    </rPh>
    <phoneticPr fontId="1"/>
  </si>
  <si>
    <t>新規入会</t>
    <phoneticPr fontId="1"/>
  </si>
  <si>
    <t>：SN-XX-XX-XX</t>
    <phoneticPr fontId="1"/>
  </si>
  <si>
    <t>代行</t>
    <phoneticPr fontId="1"/>
  </si>
  <si>
    <t>：DA-XX-XX-XX</t>
    <phoneticPr fontId="1"/>
  </si>
  <si>
    <t>テスト実施</t>
    <phoneticPr fontId="1"/>
  </si>
  <si>
    <t>合格　　　</t>
    <phoneticPr fontId="1"/>
  </si>
  <si>
    <t>：実績日（記載あり）</t>
    <phoneticPr fontId="1"/>
  </si>
  <si>
    <t>不合格　　</t>
    <phoneticPr fontId="1"/>
  </si>
  <si>
    <t>：実績日（記載なし）、不具合番号、備考欄（記載あり）</t>
    <phoneticPr fontId="1"/>
  </si>
  <si>
    <t>：合格／不合格が判明している</t>
    <phoneticPr fontId="1"/>
  </si>
  <si>
    <t>Ｃ列</t>
  </si>
  <si>
    <t>Ｍ列</t>
  </si>
  <si>
    <t>「３次検証」列</t>
    <rPh sb="6" eb="7">
      <t>レツ</t>
    </rPh>
    <phoneticPr fontId="1"/>
  </si>
  <si>
    <t>【シート名のルール】</t>
    <rPh sb="4" eb="5">
      <t>メイ</t>
    </rPh>
    <phoneticPr fontId="1"/>
  </si>
  <si>
    <t>シート名の先頭が "テストケース" のシートのみ以下の対象となる。</t>
    <rPh sb="24" eb="26">
      <t>イカ</t>
    </rPh>
    <phoneticPr fontId="1"/>
  </si>
  <si>
    <t>・日付チェック</t>
    <rPh sb="1" eb="3">
      <t>ヒヅケ</t>
    </rPh>
    <phoneticPr fontId="1"/>
  </si>
  <si>
    <t>・VeiiNusの集計ツール</t>
    <phoneticPr fontId="1"/>
  </si>
  <si>
    <t>１ファイルに複数シートを作成している場合でも、上記規約を遵守していれば対象とする。</t>
    <phoneticPr fontId="1"/>
  </si>
  <si>
    <t>実施方法</t>
    <rPh sb="0" eb="2">
      <t>ジッシ</t>
    </rPh>
    <rPh sb="2" eb="4">
      <t>ホウホウ</t>
    </rPh>
    <phoneticPr fontId="1"/>
  </si>
  <si>
    <t>本テスト仕様書をマクロを有効にした状態で開き、［日付チェック］ボタンを押下する。</t>
    <rPh sb="0" eb="1">
      <t>ホン</t>
    </rPh>
    <rPh sb="4" eb="6">
      <t>シヨウ</t>
    </rPh>
    <rPh sb="6" eb="7">
      <t>ショ</t>
    </rPh>
    <rPh sb="20" eb="21">
      <t>ヒラ</t>
    </rPh>
    <phoneticPr fontId="1"/>
  </si>
  <si>
    <t>・以下日付項目が日付型でない場合</t>
    <rPh sb="1" eb="3">
      <t>イカ</t>
    </rPh>
    <rPh sb="3" eb="5">
      <t>ヒヅケ</t>
    </rPh>
    <rPh sb="5" eb="7">
      <t>コウモク</t>
    </rPh>
    <rPh sb="8" eb="11">
      <t>ヒヅケガタ</t>
    </rPh>
    <rPh sb="14" eb="16">
      <t>バアイ</t>
    </rPh>
    <phoneticPr fontId="1"/>
  </si>
  <si>
    <t>「１次検証予定日」、「１次検証実績日」、「２次検証予定日」、「２次検証実績日」、「３次検証予定日」、「３次検証実績日」、「追加日」、「削除日」各列</t>
    <rPh sb="71" eb="72">
      <t>カク</t>
    </rPh>
    <rPh sb="72" eb="73">
      <t>レツ</t>
    </rPh>
    <phoneticPr fontId="1"/>
  </si>
  <si>
    <t>・以下項目の前後関係に不整合がある場合</t>
    <rPh sb="1" eb="3">
      <t>イカ</t>
    </rPh>
    <rPh sb="3" eb="5">
      <t>コウモク</t>
    </rPh>
    <rPh sb="6" eb="8">
      <t>ゼンゴ</t>
    </rPh>
    <rPh sb="8" eb="10">
      <t>カンケイ</t>
    </rPh>
    <rPh sb="11" eb="14">
      <t>フセイゴウ</t>
    </rPh>
    <rPh sb="17" eb="19">
      <t>バアイ</t>
    </rPh>
    <phoneticPr fontId="1"/>
  </si>
  <si>
    <t>先行検証予定日が後続検証予定日より未来日</t>
    <rPh sb="0" eb="2">
      <t>センコウ</t>
    </rPh>
    <rPh sb="8" eb="10">
      <t>コウゾク</t>
    </rPh>
    <rPh sb="12" eb="15">
      <t>ヨテイビ</t>
    </rPh>
    <phoneticPr fontId="1"/>
  </si>
  <si>
    <t>先行検証実績日が後続検証実績日より未来日</t>
    <rPh sb="0" eb="2">
      <t>センコウ</t>
    </rPh>
    <rPh sb="8" eb="10">
      <t>コウゾク</t>
    </rPh>
    <phoneticPr fontId="1"/>
  </si>
  <si>
    <t>初期状態</t>
    <rPh sb="0" eb="2">
      <t>ショキ</t>
    </rPh>
    <rPh sb="2" eb="4">
      <t>ジョウタイ</t>
    </rPh>
    <phoneticPr fontId="1"/>
  </si>
  <si>
    <t>説明</t>
    <rPh sb="0" eb="2">
      <t>セツメイ</t>
    </rPh>
    <phoneticPr fontId="1"/>
  </si>
  <si>
    <t>テストケースＸＸＸ</t>
    <phoneticPr fontId="2"/>
  </si>
  <si>
    <t>表示</t>
    <rPh sb="0" eb="2">
      <t>ヒョウジ</t>
    </rPh>
    <phoneticPr fontId="1"/>
  </si>
  <si>
    <t>テストケースフォーム。</t>
    <phoneticPr fontId="1"/>
  </si>
  <si>
    <t>仕様説明</t>
    <rPh sb="0" eb="2">
      <t>シヨウ</t>
    </rPh>
    <rPh sb="2" eb="4">
      <t>セツメイ</t>
    </rPh>
    <phoneticPr fontId="2"/>
  </si>
  <si>
    <t>本シート。本テスト仕様書の説明が記載されている。</t>
    <rPh sb="0" eb="1">
      <t>ホン</t>
    </rPh>
    <rPh sb="5" eb="6">
      <t>ホン</t>
    </rPh>
    <rPh sb="9" eb="11">
      <t>シヨウ</t>
    </rPh>
    <rPh sb="11" eb="12">
      <t>ショ</t>
    </rPh>
    <rPh sb="13" eb="15">
      <t>セツメイ</t>
    </rPh>
    <rPh sb="16" eb="18">
      <t>キサイ</t>
    </rPh>
    <phoneticPr fontId="1"/>
  </si>
  <si>
    <t>ヘッダ</t>
    <phoneticPr fontId="2"/>
  </si>
  <si>
    <t>ヘッダの内容を設定する。</t>
    <rPh sb="4" eb="6">
      <t>ナイヨウ</t>
    </rPh>
    <rPh sb="7" eb="9">
      <t>セッテイ</t>
    </rPh>
    <phoneticPr fontId="1"/>
  </si>
  <si>
    <t>Config</t>
    <phoneticPr fontId="2"/>
  </si>
  <si>
    <t>非表示</t>
    <rPh sb="0" eb="1">
      <t>ヒ</t>
    </rPh>
    <rPh sb="1" eb="3">
      <t>ヒョウジ</t>
    </rPh>
    <phoneticPr fontId="1"/>
  </si>
  <si>
    <t>日付チェックに関する設定シート。通常変更する必要はない。</t>
    <rPh sb="7" eb="8">
      <t>カン</t>
    </rPh>
    <rPh sb="10" eb="12">
      <t>セッテイ</t>
    </rPh>
    <rPh sb="16" eb="18">
      <t>ツウジョウ</t>
    </rPh>
    <rPh sb="18" eb="20">
      <t>ヘンコウ</t>
    </rPh>
    <rPh sb="22" eb="24">
      <t>ヒツヨウ</t>
    </rPh>
    <phoneticPr fontId="1"/>
  </si>
  <si>
    <t>エラー情報</t>
    <rPh sb="3" eb="5">
      <t>ジョウホウ</t>
    </rPh>
    <phoneticPr fontId="2"/>
  </si>
  <si>
    <t>　　また、実日で消化テストケースをカウントする。</t>
    <rPh sb="5" eb="6">
      <t>ジツ</t>
    </rPh>
    <rPh sb="6" eb="7">
      <t>ビ</t>
    </rPh>
    <phoneticPr fontId="2"/>
  </si>
  <si>
    <t>例１）</t>
  </si>
  <si>
    <t>例２）</t>
  </si>
  <si>
    <t>テストケースNo. の前にフラグを追加（テストケースのグループ化等）</t>
    <phoneticPr fontId="1"/>
  </si>
  <si>
    <t>サブシステム以外の切り口でテストケースを集計したい場合、または新規で記載項目を設けたい場合に使用。</t>
    <phoneticPr fontId="1"/>
  </si>
  <si>
    <t>委託先が結合テストを請け負っている場合、テスト実施／１次検証～２次検証までを委託先で入力し、３次検証を受入テストとしてＴＩＳにて入力。</t>
    <phoneticPr fontId="1"/>
  </si>
  <si>
    <t>テスト実施／１次検証をテスタが実施、２次検証をチームリーダが実施、３次検証を業務（または技術）有識者が実施。</t>
    <phoneticPr fontId="1"/>
  </si>
  <si>
    <t>サンプル</t>
    <phoneticPr fontId="1"/>
  </si>
  <si>
    <t>テストケースフォームの記入サンプル。ＰＪ適用時は削除可。</t>
    <rPh sb="11" eb="13">
      <t>キニュウ</t>
    </rPh>
    <rPh sb="26" eb="27">
      <t>カ</t>
    </rPh>
    <phoneticPr fontId="1"/>
  </si>
  <si>
    <t>・削除日が設定されており、「テストケースNo」列が設定されている場合</t>
    <rPh sb="1" eb="3">
      <t>サクジョ</t>
    </rPh>
    <rPh sb="3" eb="4">
      <t>ビ</t>
    </rPh>
    <rPh sb="5" eb="7">
      <t>セッテイ</t>
    </rPh>
    <rPh sb="25" eb="27">
      <t>セッテイ</t>
    </rPh>
    <rPh sb="32" eb="34">
      <t>バアイ</t>
    </rPh>
    <phoneticPr fontId="1"/>
  </si>
  <si>
    <t>：「削除」列に日付が入力され、「テストケースNo.」列が入力されている場合、赤色塗りつぶし。</t>
    <rPh sb="26" eb="27">
      <t>レツ</t>
    </rPh>
    <phoneticPr fontId="1"/>
  </si>
  <si>
    <t>：「実施トライ数」列</t>
    <rPh sb="2" eb="4">
      <t>ジッシ</t>
    </rPh>
    <rPh sb="7" eb="8">
      <t>スウ</t>
    </rPh>
    <rPh sb="9" eb="10">
      <t>レツ</t>
    </rPh>
    <phoneticPr fontId="1"/>
  </si>
  <si>
    <t>：「削除」列に日付が入力されている場合、灰色塗りつぶし。</t>
    <phoneticPr fontId="1"/>
  </si>
  <si>
    <t>１．シート構成</t>
    <rPh sb="5" eb="7">
      <t>コウセイ</t>
    </rPh>
    <phoneticPr fontId="1"/>
  </si>
  <si>
    <t>２．本テスト仕様書の仕様</t>
    <rPh sb="2" eb="3">
      <t>ホン</t>
    </rPh>
    <rPh sb="6" eb="8">
      <t>シヨウ</t>
    </rPh>
    <rPh sb="8" eb="9">
      <t>ショ</t>
    </rPh>
    <rPh sb="10" eb="12">
      <t>シヨウ</t>
    </rPh>
    <phoneticPr fontId="1"/>
  </si>
  <si>
    <t>Ｂ．テストケース記入ルール</t>
    <rPh sb="8" eb="10">
      <t>キニュウ</t>
    </rPh>
    <phoneticPr fontId="1"/>
  </si>
  <si>
    <t>Ａ．ヘッダシート</t>
    <phoneticPr fontId="1"/>
  </si>
  <si>
    <t>　　テストケースNo.はユニークになるようプロジェクト内で決定する。</t>
    <phoneticPr fontId="2"/>
  </si>
  <si>
    <t>－　１行をテストケース１件としカウントする。</t>
    <phoneticPr fontId="1"/>
  </si>
  <si>
    <t>－　テストケースを追加する場合は、該当行の「追加」列に追加した日付を記載する。</t>
    <rPh sb="9" eb="11">
      <t>ツイカ</t>
    </rPh>
    <rPh sb="25" eb="26">
      <t>レツ</t>
    </rPh>
    <rPh sb="27" eb="29">
      <t>ツイカ</t>
    </rPh>
    <phoneticPr fontId="1"/>
  </si>
  <si>
    <t>－　テストケースを削除する場合は、該当行の「削除」列に削除した日付を記載し、「テストケースNo.」列をブランクにする。</t>
    <rPh sb="9" eb="11">
      <t>サクジョ</t>
    </rPh>
    <rPh sb="13" eb="15">
      <t>バアイ</t>
    </rPh>
    <rPh sb="49" eb="50">
      <t>レツ</t>
    </rPh>
    <phoneticPr fontId="1"/>
  </si>
  <si>
    <t>・行の物理削除はしないこと。</t>
    <rPh sb="1" eb="2">
      <t>ギョウ</t>
    </rPh>
    <rPh sb="3" eb="5">
      <t>ブツリ</t>
    </rPh>
    <rPh sb="5" eb="7">
      <t>サクジョ</t>
    </rPh>
    <phoneticPr fontId="1"/>
  </si>
  <si>
    <t>－　テスト実施、およびその結果（合格／不合格）は以下の項目から判断する。</t>
    <phoneticPr fontId="1"/>
  </si>
  <si>
    <t>－　テストケースはサブシステムおよび担当者別に管理を行い、進捗状況を確認する。</t>
    <rPh sb="18" eb="21">
      <t>タントウシャ</t>
    </rPh>
    <rPh sb="21" eb="22">
      <t>ベツ</t>
    </rPh>
    <rPh sb="23" eb="25">
      <t>カンリ</t>
    </rPh>
    <rPh sb="26" eb="27">
      <t>オコナ</t>
    </rPh>
    <rPh sb="29" eb="31">
      <t>シンチョク</t>
    </rPh>
    <rPh sb="31" eb="33">
      <t>ジョウキョウ</t>
    </rPh>
    <rPh sb="34" eb="36">
      <t>カクニン</t>
    </rPh>
    <phoneticPr fontId="1"/>
  </si>
  <si>
    <t>－　「テストケースＸＸＸ」シートに表示されているヘッダは、ヘッダシートの設定内容を反映している。</t>
    <rPh sb="17" eb="19">
      <t>ヒョウジ</t>
    </rPh>
    <rPh sb="36" eb="38">
      <t>セッテイ</t>
    </rPh>
    <rPh sb="38" eb="40">
      <t>ナイヨウ</t>
    </rPh>
    <rPh sb="41" eb="43">
      <t>ハンエイ</t>
    </rPh>
    <phoneticPr fontId="1"/>
  </si>
  <si>
    <t>　　また、ヘッダとは別に明細行からヘッダシートの「テスト分類」を参照している。</t>
    <rPh sb="10" eb="11">
      <t>ベツ</t>
    </rPh>
    <rPh sb="12" eb="14">
      <t>メイサイ</t>
    </rPh>
    <rPh sb="14" eb="15">
      <t>ギョウ</t>
    </rPh>
    <phoneticPr fontId="1"/>
  </si>
  <si>
    <t>－　テストケースNo.はＤ列に記入する。（この列でテストケース数をカウントする）</t>
    <rPh sb="13" eb="14">
      <t>レツ</t>
    </rPh>
    <rPh sb="15" eb="17">
      <t>キニュウ</t>
    </rPh>
    <rPh sb="23" eb="24">
      <t>レツ</t>
    </rPh>
    <rPh sb="31" eb="32">
      <t>カズ</t>
    </rPh>
    <phoneticPr fontId="2"/>
  </si>
  <si>
    <t>・「テストケースNo.」がブランクでない場合は、該当行の背景セルが赤色となる。</t>
    <phoneticPr fontId="1"/>
  </si>
  <si>
    <t>－　日付入力・更新の都度、日付チェックを実施する。</t>
    <rPh sb="10" eb="12">
      <t>ツド</t>
    </rPh>
    <rPh sb="13" eb="15">
      <t>ヒヅケ</t>
    </rPh>
    <rPh sb="20" eb="22">
      <t>ジッシ</t>
    </rPh>
    <phoneticPr fontId="1"/>
  </si>
  <si>
    <t>Ｃ．進捗管理</t>
    <rPh sb="2" eb="4">
      <t>シンチョク</t>
    </rPh>
    <rPh sb="4" eb="6">
      <t>カンリ</t>
    </rPh>
    <phoneticPr fontId="1"/>
  </si>
  <si>
    <t>Ｄ．カスタマイズ</t>
    <phoneticPr fontId="1"/>
  </si>
  <si>
    <t>－　セルの結合、列挿入はしないこと。</t>
    <rPh sb="8" eb="11">
      <t>レツソウニュウ</t>
    </rPh>
    <phoneticPr fontId="2"/>
  </si>
  <si>
    <t>－　Ｃ列、Ｍ列、「３次検証」列の利用は任意。</t>
    <rPh sb="3" eb="4">
      <t>レツ</t>
    </rPh>
    <rPh sb="6" eb="7">
      <t>レツ</t>
    </rPh>
    <rPh sb="19" eb="21">
      <t>ニンイ</t>
    </rPh>
    <phoneticPr fontId="1"/>
  </si>
  <si>
    <t>－　自由に使用できる列はＡＴ列以降。</t>
    <rPh sb="2" eb="4">
      <t>ジユウ</t>
    </rPh>
    <rPh sb="5" eb="7">
      <t>シヨウ</t>
    </rPh>
    <rPh sb="10" eb="11">
      <t>レツ</t>
    </rPh>
    <rPh sb="15" eb="17">
      <t>イコウ</t>
    </rPh>
    <phoneticPr fontId="1"/>
  </si>
  <si>
    <t>３．個別機能の仕様</t>
    <rPh sb="2" eb="4">
      <t>コベツ</t>
    </rPh>
    <rPh sb="4" eb="6">
      <t>キノウ</t>
    </rPh>
    <rPh sb="7" eb="9">
      <t>シヨウ</t>
    </rPh>
    <phoneticPr fontId="1"/>
  </si>
  <si>
    <t>条件付書式</t>
    <rPh sb="0" eb="3">
      <t>ジョウケンツキ</t>
    </rPh>
    <rPh sb="3" eb="5">
      <t>ショシキ</t>
    </rPh>
    <phoneticPr fontId="2"/>
  </si>
  <si>
    <t>日付チェック</t>
    <rPh sb="0" eb="2">
      <t>ヒヅケ</t>
    </rPh>
    <phoneticPr fontId="2"/>
  </si>
  <si>
    <t>総件数算出関数</t>
    <rPh sb="0" eb="3">
      <t>ソウケンスウ</t>
    </rPh>
    <rPh sb="3" eb="5">
      <t>サンシュツ</t>
    </rPh>
    <rPh sb="5" eb="7">
      <t>カンスウ</t>
    </rPh>
    <phoneticPr fontId="2"/>
  </si>
  <si>
    <t>（１）明細行　　　　　</t>
    <rPh sb="3" eb="5">
      <t>メイサイ</t>
    </rPh>
    <rPh sb="5" eb="6">
      <t>ギョウ</t>
    </rPh>
    <phoneticPr fontId="2"/>
  </si>
  <si>
    <t>（２）明細行</t>
    <rPh sb="3" eb="5">
      <t>メイサイ</t>
    </rPh>
    <rPh sb="5" eb="6">
      <t>ギョウ</t>
    </rPh>
    <phoneticPr fontId="2"/>
  </si>
  <si>
    <t>（１）［日付チェック］ボタン押下で、同一ブック内の【シート名のルール】に則ったシートに対して入力チェックを行う。</t>
    <rPh sb="14" eb="16">
      <t>オウカ</t>
    </rPh>
    <rPh sb="18" eb="20">
      <t>ドウイツ</t>
    </rPh>
    <rPh sb="23" eb="24">
      <t>ナイ</t>
    </rPh>
    <rPh sb="46" eb="48">
      <t>ニュウリョク</t>
    </rPh>
    <rPh sb="53" eb="54">
      <t>オコナ</t>
    </rPh>
    <phoneticPr fontId="1"/>
  </si>
  <si>
    <t>（２）下記条件に当てはまった場合にエラーとなる。「エラー情報」シートの内容を確認し、データを修正すること。</t>
    <rPh sb="3" eb="5">
      <t>カキ</t>
    </rPh>
    <rPh sb="5" eb="7">
      <t>ジョウケン</t>
    </rPh>
    <rPh sb="8" eb="9">
      <t>ア</t>
    </rPh>
    <rPh sb="14" eb="16">
      <t>バアイ</t>
    </rPh>
    <phoneticPr fontId="2"/>
  </si>
  <si>
    <t>（３）［日付チェック］ボタン押下時、前回のエラー情報はクリアされる。</t>
    <rPh sb="4" eb="6">
      <t>ヒヅケ</t>
    </rPh>
    <rPh sb="14" eb="16">
      <t>オウカ</t>
    </rPh>
    <rPh sb="16" eb="17">
      <t>ジ</t>
    </rPh>
    <rPh sb="18" eb="20">
      <t>ゼンカイ</t>
    </rPh>
    <rPh sb="24" eb="26">
      <t>ジョウホウ</t>
    </rPh>
    <phoneticPr fontId="2"/>
  </si>
  <si>
    <t>（４）エラーがない場合、「エラー情報」シートは表示されない。</t>
    <rPh sb="9" eb="11">
      <t>バアイ</t>
    </rPh>
    <rPh sb="16" eb="18">
      <t>ジョウホウ</t>
    </rPh>
    <rPh sb="23" eb="25">
      <t>ヒョウジ</t>
    </rPh>
    <phoneticPr fontId="2"/>
  </si>
  <si>
    <t>－　テストケースの明細行は見出し～Ｃ列「END_LINE」の間にあること。　　※見出し～「END_LINE」内で明細をカウントしているため</t>
    <rPh sb="13" eb="15">
      <t>ミダ</t>
    </rPh>
    <rPh sb="30" eb="31">
      <t>アイダ</t>
    </rPh>
    <rPh sb="40" eb="42">
      <t>ミダ</t>
    </rPh>
    <rPh sb="54" eb="55">
      <t>ナイ</t>
    </rPh>
    <rPh sb="56" eb="58">
      <t>メイサイ</t>
    </rPh>
    <phoneticPr fontId="2"/>
  </si>
  <si>
    <t>（１）明細開始行 ～ END_LINE-1行 の入力件数</t>
    <rPh sb="3" eb="5">
      <t>メイサイ</t>
    </rPh>
    <rPh sb="5" eb="7">
      <t>カイシ</t>
    </rPh>
    <rPh sb="7" eb="8">
      <t>ギョウ</t>
    </rPh>
    <rPh sb="21" eb="22">
      <t>ギョウ</t>
    </rPh>
    <rPh sb="24" eb="26">
      <t>ニュウリョク</t>
    </rPh>
    <rPh sb="26" eb="28">
      <t>ケンスウ</t>
    </rPh>
    <phoneticPr fontId="1"/>
  </si>
  <si>
    <t>：「テストケースNo.」、「削除」列</t>
    <rPh sb="14" eb="16">
      <t>サクジョ</t>
    </rPh>
    <rPh sb="17" eb="18">
      <t>レツ</t>
    </rPh>
    <phoneticPr fontId="1"/>
  </si>
  <si>
    <t>（２）明細開始行 ～ END_LINE-1行 の合計（削除ケースを除く）</t>
    <rPh sb="3" eb="5">
      <t>メイサイ</t>
    </rPh>
    <rPh sb="5" eb="7">
      <t>カイシ</t>
    </rPh>
    <rPh sb="7" eb="8">
      <t>ギョウ</t>
    </rPh>
    <rPh sb="21" eb="22">
      <t>ギョウ</t>
    </rPh>
    <rPh sb="24" eb="26">
      <t>ゴウケイ</t>
    </rPh>
    <phoneticPr fontId="1"/>
  </si>
  <si>
    <t>（３）明細開始行 ～ END_LINE-1行 の入力件数（削除ケースを除く）</t>
    <rPh sb="3" eb="5">
      <t>メイサイ</t>
    </rPh>
    <rPh sb="5" eb="7">
      <t>カイシ</t>
    </rPh>
    <rPh sb="7" eb="8">
      <t>ギョウ</t>
    </rPh>
    <rPh sb="21" eb="22">
      <t>ギョウ</t>
    </rPh>
    <rPh sb="24" eb="26">
      <t>ニュウリョク</t>
    </rPh>
    <rPh sb="26" eb="28">
      <t>ケンスウ</t>
    </rPh>
    <phoneticPr fontId="1"/>
  </si>
  <si>
    <t>：「テストケースNo.」、「実施トライ数」、「削除」列以外</t>
    <rPh sb="27" eb="29">
      <t>イガイ</t>
    </rPh>
    <phoneticPr fontId="1"/>
  </si>
  <si>
    <t>（３）の例（「不具合番号」列）</t>
    <rPh sb="7" eb="10">
      <t>フグアイ</t>
    </rPh>
    <rPh sb="10" eb="12">
      <t>バンゴウ</t>
    </rPh>
    <phoneticPr fontId="1"/>
  </si>
  <si>
    <t>=SUMPRODUCT((OFFSET(X5,明細開始行-$AG$5,0,$AH$5-明細開始行+1)&lt;&gt;0)*(OFFSET($AA5,明細開始行-$AG$5,0,$AH$5-明細開始行+1)=0))</t>
    <phoneticPr fontId="1"/>
  </si>
  <si>
    <t>=SUMPRODUCT((OFFSET(「不具合番号」列の明細行)&lt;&gt;0)*(OFFSET(「削除」列の明細行)=0))</t>
    <rPh sb="21" eb="24">
      <t>フグアイ</t>
    </rPh>
    <rPh sb="24" eb="26">
      <t>バンゴウ</t>
    </rPh>
    <rPh sb="27" eb="28">
      <t>レツ</t>
    </rPh>
    <rPh sb="29" eb="31">
      <t>メイサイ</t>
    </rPh>
    <rPh sb="31" eb="32">
      <t>ギョウ</t>
    </rPh>
    <rPh sb="47" eb="49">
      <t>サクジョ</t>
    </rPh>
    <rPh sb="50" eb="51">
      <t>レツ</t>
    </rPh>
    <rPh sb="52" eb="54">
      <t>メイサイ</t>
    </rPh>
    <rPh sb="54" eb="55">
      <t>ギョウ</t>
    </rPh>
    <phoneticPr fontId="1"/>
  </si>
  <si>
    <t>=SUMPRODUCT((「不具合番号」列の明細行=入力あり)*(「削除」列の明細行=入力なし))</t>
    <rPh sb="14" eb="17">
      <t>フグアイ</t>
    </rPh>
    <rPh sb="17" eb="19">
      <t>バンゴウ</t>
    </rPh>
    <rPh sb="20" eb="21">
      <t>レツ</t>
    </rPh>
    <rPh sb="22" eb="24">
      <t>メイサイ</t>
    </rPh>
    <rPh sb="24" eb="25">
      <t>ギョウ</t>
    </rPh>
    <rPh sb="26" eb="28">
      <t>ニュウリョク</t>
    </rPh>
    <rPh sb="34" eb="36">
      <t>サクジョ</t>
    </rPh>
    <rPh sb="37" eb="38">
      <t>レツ</t>
    </rPh>
    <rPh sb="39" eb="41">
      <t>メイサイ</t>
    </rPh>
    <rPh sb="41" eb="42">
      <t>ギョウ</t>
    </rPh>
    <rPh sb="43" eb="45">
      <t>ニュウリョク</t>
    </rPh>
    <phoneticPr fontId="1"/>
  </si>
  <si>
    <t>=(「不具合番号」列の明細行=入力あり)かつ(「削除」列の明細行=入力なし)の件数をカウント</t>
    <rPh sb="3" eb="6">
      <t>フグアイ</t>
    </rPh>
    <rPh sb="6" eb="8">
      <t>バンゴウ</t>
    </rPh>
    <rPh sb="9" eb="10">
      <t>レツ</t>
    </rPh>
    <rPh sb="11" eb="13">
      <t>メイサイ</t>
    </rPh>
    <rPh sb="13" eb="14">
      <t>ギョウ</t>
    </rPh>
    <rPh sb="15" eb="17">
      <t>ニュウリョク</t>
    </rPh>
    <rPh sb="24" eb="26">
      <t>サクジョ</t>
    </rPh>
    <rPh sb="27" eb="28">
      <t>レツ</t>
    </rPh>
    <rPh sb="29" eb="31">
      <t>メイサイ</t>
    </rPh>
    <rPh sb="31" eb="32">
      <t>ギョウ</t>
    </rPh>
    <rPh sb="33" eb="35">
      <t>ニュウリョク</t>
    </rPh>
    <rPh sb="39" eb="41">
      <t>ケンスウ</t>
    </rPh>
    <phoneticPr fontId="1"/>
  </si>
  <si>
    <t>日付チェックを実施した際、日付チェック仕様に該当するエラー情報が表示される。</t>
    <rPh sb="11" eb="12">
      <t>サイ</t>
    </rPh>
    <rPh sb="32" eb="34">
      <t>ヒョウジ</t>
    </rPh>
    <phoneticPr fontId="1"/>
  </si>
  <si>
    <t>２</t>
  </si>
  <si>
    <t>大項目</t>
    <rPh sb="0" eb="3">
      <t>ダイコウモク</t>
    </rPh>
    <phoneticPr fontId="2"/>
  </si>
  <si>
    <t>中項目</t>
    <rPh sb="0" eb="1">
      <t>チュウ</t>
    </rPh>
    <rPh sb="1" eb="3">
      <t>コウモク</t>
    </rPh>
    <phoneticPr fontId="2"/>
  </si>
  <si>
    <t>小項目（実施内容）</t>
    <rPh sb="0" eb="3">
      <t>ショウコウモク</t>
    </rPh>
    <rPh sb="4" eb="6">
      <t>ジッシ</t>
    </rPh>
    <rPh sb="6" eb="8">
      <t>ナイヨウ</t>
    </rPh>
    <phoneticPr fontId="2"/>
  </si>
  <si>
    <t>ケース実施</t>
    <rPh sb="3" eb="5">
      <t>ジッシ</t>
    </rPh>
    <phoneticPr fontId="2"/>
  </si>
  <si>
    <t>単体テスト仕様書</t>
    <rPh sb="0" eb="2">
      <t>タンタイ</t>
    </rPh>
    <rPh sb="5" eb="8">
      <t>シヨウショ</t>
    </rPh>
    <phoneticPr fontId="2"/>
  </si>
  <si>
    <t>実装工程</t>
    <rPh sb="0" eb="2">
      <t>ジッソウ</t>
    </rPh>
    <rPh sb="2" eb="4">
      <t>コウテイ</t>
    </rPh>
    <phoneticPr fontId="2"/>
  </si>
  <si>
    <t>担当者</t>
    <rPh sb="0" eb="2">
      <t>タントウ</t>
    </rPh>
    <rPh sb="2" eb="3">
      <t>シャ</t>
    </rPh>
    <phoneticPr fontId="2"/>
  </si>
  <si>
    <t>ー</t>
    <phoneticPr fontId="2"/>
  </si>
  <si>
    <t>結果</t>
    <rPh sb="0" eb="2">
      <t>ケッカ</t>
    </rPh>
    <phoneticPr fontId="2"/>
  </si>
  <si>
    <t>不具合確認</t>
    <rPh sb="0" eb="3">
      <t>フグアイ</t>
    </rPh>
    <rPh sb="3" eb="5">
      <t>カクニン</t>
    </rPh>
    <phoneticPr fontId="2"/>
  </si>
  <si>
    <t>テスト
ケースNo.</t>
    <phoneticPr fontId="2"/>
  </si>
  <si>
    <t>３</t>
  </si>
  <si>
    <t>４</t>
  </si>
  <si>
    <t>注文詳細エリア
各商品の情報</t>
  </si>
  <si>
    <t>買いものを続けるボタン</t>
  </si>
  <si>
    <t>買い物を続けるボタン押下</t>
  </si>
  <si>
    <t>商品名</t>
  </si>
  <si>
    <t>商品画像</t>
  </si>
  <si>
    <t>注文コース</t>
  </si>
  <si>
    <t>編集ボタン</t>
  </si>
  <si>
    <t>ほしいものリスト登録ボタン
・未登録の場合</t>
  </si>
  <si>
    <t>ほしいものリスト登録ボタン
・登録済みの場合</t>
  </si>
  <si>
    <t>単価</t>
  </si>
  <si>
    <t>単価
・数量により金額が変更される商品の場合</t>
  </si>
  <si>
    <t>単価
・お試し価格などの割引がある商品の場合</t>
  </si>
  <si>
    <t>数量</t>
  </si>
  <si>
    <t>数量
・変更時</t>
  </si>
  <si>
    <t>合計</t>
  </si>
  <si>
    <t>商品削除ボタン</t>
  </si>
  <si>
    <t>クーポン表示エリア
・表示なし、合計金額が5000円以下の場合</t>
  </si>
  <si>
    <t>クーポン表示エリア
・表示あり、合計金額が5000円以上の場合</t>
  </si>
  <si>
    <t>プロモーションコード入力・送信
・有効の場合</t>
  </si>
  <si>
    <t>プロモーションコード入力・送信
・有効ではない場合</t>
  </si>
  <si>
    <t>プロモーションコード入力・送信
・適用済みの場合</t>
  </si>
  <si>
    <t>プロモーションコード入力・送信
・使用済みの場合</t>
  </si>
  <si>
    <t>プロモーションコード入力・送信
・未入力の場合</t>
  </si>
  <si>
    <t>プロモーションコード入力・送信
・エラーが発生した場合</t>
  </si>
  <si>
    <t>クーポン削除
・「×」ボタン押下</t>
  </si>
  <si>
    <t>配送方法
・合計金額が30,000以下の場合
・「ゆうパケット」対象商品のみ場合</t>
  </si>
  <si>
    <t>配送方法
・合計金額が30,000以上の場合
・「ゆうパケット」対象商品のみの場合</t>
  </si>
  <si>
    <t>配送方法
・合計金額が30,000以下の場合
・「ゆうパケット」対象外商品が含まれている場合</t>
  </si>
  <si>
    <t>配送料</t>
  </si>
  <si>
    <t>配送料割引
・割引がない場合</t>
  </si>
  <si>
    <t>配送料割引
・割引がある場合</t>
  </si>
  <si>
    <t>税込合計金額</t>
  </si>
  <si>
    <t>「注文手続きへ」ボタン</t>
  </si>
  <si>
    <t>「注文手続きへ」ボタン押下
・エラーなし
・未ログイン</t>
  </si>
  <si>
    <t>「注文手続きへ」ボタン押下
・エラーなし
・ログイン済み</t>
  </si>
  <si>
    <t>「注文手続きへ」ボタン押下
・カートの中に在庫ステータスが「完売」の商品がある場合</t>
  </si>
  <si>
    <t>「注文手続きへ」ボタン押下
・カートの中に在庫ステータスが「入荷有無確認中」の商品がある場合</t>
  </si>
  <si>
    <t>・配送についてリンク</t>
  </si>
  <si>
    <t>・お支払い方法について</t>
  </si>
  <si>
    <t>・プロモーションコードについて</t>
  </si>
  <si>
    <t>・「はい」押下
・削除対象商品以外の商品がある場合</t>
  </si>
  <si>
    <t>・「はい」押下
・削除対象商品のみの場合</t>
  </si>
  <si>
    <t>・「キャンセル」押下</t>
  </si>
  <si>
    <t>・「×」ボタン押下</t>
  </si>
  <si>
    <t>商品説明</t>
  </si>
  <si>
    <t>コース</t>
  </si>
  <si>
    <t>更新ボタン</t>
  </si>
  <si>
    <t>更新ボタン押下</t>
  </si>
  <si>
    <t>・下記の通りパンくずリストが上部に表示されること
HOME/お買いものカゴ</t>
  </si>
  <si>
    <t>・リンクが活性であること</t>
  </si>
  <si>
    <t>・総合トップ画面に遷移すること</t>
  </si>
  <si>
    <t>・リンクが非活性であること</t>
  </si>
  <si>
    <t>・「お買い物カゴは空です」と表示されること</t>
  </si>
  <si>
    <t>・買いものを続けるボタンが活性で赤く表示されること</t>
  </si>
  <si>
    <t>・総合トップ画面へ遷移する。</t>
  </si>
  <si>
    <t>・カートに入れている商品数を表示する。
・「〇点の商品」と表示される。</t>
  </si>
  <si>
    <t>・商品の一覧が追加日時の昇順で表示されること</t>
  </si>
  <si>
    <t>・買い物を続けるボタンが活性で赤く表示されること</t>
  </si>
  <si>
    <t>・システムオブジェクト「Product」の「名前」が表示されること</t>
  </si>
  <si>
    <t>・商品画像が表示されること</t>
  </si>
  <si>
    <t>・選択したコース名が表示されていること</t>
  </si>
  <si>
    <t>・商品編集モーダルが表示されること</t>
  </si>
  <si>
    <t>・登録完了メッセージが表示されること
・商品削除確認モーダルが表示されること</t>
  </si>
  <si>
    <t>・登録済みのメッセージが表示されること
・商品削除確認モーダルが表示されること</t>
  </si>
  <si>
    <t>・「¥ xx,xxx」であること</t>
  </si>
  <si>
    <t>・1個の場合の単価と、複数購入の場合の単価が表示されていること</t>
  </si>
  <si>
    <t>・通常価格に取り消し線が引かれていること
・割引後の価格が赤文字で表示されていること</t>
  </si>
  <si>
    <t>・プルダウン形式で選択できること。
・商品に設定されている最低購入可能数、購入単位、最大購入可能数に応じた選択肢が表示されていること</t>
  </si>
  <si>
    <t>・合計が数量に応じた金額に変更されていること
・カート画面項目の表示商品数が更新されていること</t>
  </si>
  <si>
    <t>・表示形式が「¥ｘｘ,ｘｘｘ」であること
・対象商品の商品の合計値が表示されること</t>
  </si>
  <si>
    <t>・「ｘ」で表示され、活性であること
・押下時に商品削除確認モーダルが表示されること</t>
  </si>
  <si>
    <t>・クーポンが表示されていないこと</t>
  </si>
  <si>
    <t>・クーポンが表示されていること</t>
  </si>
  <si>
    <t>・プロモーション説明にプロモーションコードに応じたクーポンが表示されること</t>
  </si>
  <si>
    <t>・「クーポンをお買いものカゴに追加できません。」と表示されること</t>
  </si>
  <si>
    <t>・「クーポンはすでにお買いものカゴに入っています」と表示されること</t>
  </si>
  <si>
    <t>・「クーポンはすでに使用済みです」と表示されること</t>
  </si>
  <si>
    <t>・「クーポンコードが入力されていません」と表示されること</t>
  </si>
  <si>
    <t>・「クーポンを買い物カゴに追加できません。ページを更新してから、もう一度お試しください。問題が解決しない場合は、カスタマーサービスまでお問い合わせください。」と表示されること</t>
  </si>
  <si>
    <t>・プロモーション説明から対象のクーポンが削除されること</t>
  </si>
  <si>
    <t>・「ゆうパケット」と表示されること</t>
  </si>
  <si>
    <t>・「ヤマト運輸」と表示されること</t>
  </si>
  <si>
    <t>・表示形式が「¥ｘｘ,ｘｘｘ」であること</t>
  </si>
  <si>
    <t>・ラベルおよび割引金額が表示されないこと</t>
  </si>
  <si>
    <t>・表示形式が「¥ｘｘ,ｘｘｘ」であること
・赤文字で表示されること</t>
  </si>
  <si>
    <t>・表示形式が「¥ｘｘ,ｘｘｘ」であること
・各商品の総合計金額と配送料の合計金額が表示されること</t>
  </si>
  <si>
    <t>・「注文手続きへ」ボタンが活性であること</t>
  </si>
  <si>
    <t>注文手続きのログイン画面に遷移すること</t>
  </si>
  <si>
    <t>注文手続きの「STEP1 配送設定」画面に遷移すること</t>
  </si>
  <si>
    <t>・エラーメッセージが表示されること</t>
  </si>
  <si>
    <t>・活性になっていること
・押下すると新規タブで配送についての画面が表示されること</t>
  </si>
  <si>
    <t>・活性になっていること
・押下すると新規タブでお支払い方法についての画面が表示されること</t>
  </si>
  <si>
    <t>・活性になっていること
・押下すると新規タブでプロモーションコードについての画面が表示されること</t>
  </si>
  <si>
    <t>・モーダルが閉じて、対象の商品が注文リストの詳細エリアから削除されていること
・合計金額が更新されていること</t>
  </si>
  <si>
    <t>・モーダルが閉じてカート画面項目に「お買い物カゴは空です」と表示されること</t>
  </si>
  <si>
    <t>・モーダルが閉じて処理が終了すること</t>
  </si>
  <si>
    <t>・商品名が表示されていること</t>
  </si>
  <si>
    <t>・商品画像が表示されていること</t>
  </si>
  <si>
    <t>・商品説明が表示されていること</t>
  </si>
  <si>
    <t>・商品のコースが表示されていること
・選択していたコースのチェックボックスがチェックされていること</t>
  </si>
  <si>
    <t>・初期表示で選択していた数量が初期表示されていること</t>
  </si>
  <si>
    <t>活性であること</t>
  </si>
  <si>
    <t>・商品編集モーダルが閉じること
・選択したコースで商品情報のコースが表示されていること
・選択した数量で、数量および金額が更新されていること</t>
  </si>
  <si>
    <t>５</t>
  </si>
  <si>
    <t>６</t>
  </si>
  <si>
    <t>７</t>
  </si>
  <si>
    <t>８</t>
  </si>
  <si>
    <t>１０</t>
  </si>
  <si>
    <t>１１</t>
  </si>
  <si>
    <t>１２</t>
  </si>
  <si>
    <t>１３</t>
  </si>
  <si>
    <t>１４</t>
  </si>
  <si>
    <t>１５</t>
  </si>
  <si>
    <t>１６</t>
  </si>
  <si>
    <t>１７</t>
  </si>
  <si>
    <t>１８</t>
  </si>
  <si>
    <t>１９</t>
  </si>
  <si>
    <t>２０</t>
  </si>
  <si>
    <t>２１</t>
  </si>
  <si>
    <t>２２</t>
  </si>
  <si>
    <t>２３</t>
  </si>
  <si>
    <t>２４</t>
  </si>
  <si>
    <t>２５</t>
  </si>
  <si>
    <t>２６</t>
  </si>
  <si>
    <t>２７</t>
  </si>
  <si>
    <t>２８</t>
  </si>
  <si>
    <t>２９</t>
  </si>
  <si>
    <t>３０</t>
  </si>
  <si>
    <t>３１</t>
  </si>
  <si>
    <t>３２</t>
  </si>
  <si>
    <t>３３</t>
  </si>
  <si>
    <t>３４</t>
  </si>
  <si>
    <t>３５</t>
  </si>
  <si>
    <t>３６</t>
  </si>
  <si>
    <t>３７</t>
  </si>
  <si>
    <t>３８</t>
  </si>
  <si>
    <t>３９</t>
  </si>
  <si>
    <t>４０</t>
  </si>
  <si>
    <t>４１</t>
  </si>
  <si>
    <t>４２</t>
  </si>
  <si>
    <t>４３</t>
  </si>
  <si>
    <t>４４</t>
  </si>
  <si>
    <t>４５</t>
  </si>
  <si>
    <t>４６</t>
  </si>
  <si>
    <t>４７</t>
  </si>
  <si>
    <t>４８</t>
  </si>
  <si>
    <t>４９</t>
  </si>
  <si>
    <t>５０</t>
  </si>
  <si>
    <t>５１</t>
  </si>
  <si>
    <t>５２</t>
  </si>
  <si>
    <t>５３</t>
  </si>
  <si>
    <t>５４</t>
  </si>
  <si>
    <t>５５</t>
  </si>
  <si>
    <t>５６</t>
  </si>
  <si>
    <t>５７</t>
  </si>
  <si>
    <t>５８</t>
  </si>
  <si>
    <t>５９</t>
  </si>
  <si>
    <t>６０</t>
  </si>
  <si>
    <t>合格</t>
    <rPh sb="0" eb="2">
      <t>ゴウカク</t>
    </rPh>
    <phoneticPr fontId="1"/>
  </si>
  <si>
    <t>機能名</t>
    <rPh sb="0" eb="2">
      <t>キノウ</t>
    </rPh>
    <rPh sb="2" eb="3">
      <t>メイ</t>
    </rPh>
    <phoneticPr fontId="1"/>
  </si>
  <si>
    <t>1</t>
    <phoneticPr fontId="1"/>
  </si>
  <si>
    <t>実施者</t>
    <rPh sb="0" eb="2">
      <t>ジッシ</t>
    </rPh>
    <rPh sb="2" eb="3">
      <t>シャ</t>
    </rPh>
    <phoneticPr fontId="2"/>
  </si>
  <si>
    <t>実施者</t>
    <rPh sb="0" eb="3">
      <t>ジッシシャ</t>
    </rPh>
    <phoneticPr fontId="2"/>
  </si>
  <si>
    <t>単体テスト</t>
    <rPh sb="0" eb="2">
      <t>タンタイ</t>
    </rPh>
    <phoneticPr fontId="1"/>
  </si>
  <si>
    <t>1111</t>
    <phoneticPr fontId="1"/>
  </si>
  <si>
    <t>1112,1113</t>
    <phoneticPr fontId="1"/>
  </si>
  <si>
    <t>要員A</t>
    <rPh sb="0" eb="2">
      <t>ヨウイン</t>
    </rPh>
    <phoneticPr fontId="1"/>
  </si>
  <si>
    <t>要員B</t>
    <rPh sb="0" eb="2">
      <t>ヨウイン</t>
    </rPh>
    <phoneticPr fontId="1"/>
  </si>
  <si>
    <t>取り下げ</t>
    <rPh sb="0" eb="1">
      <t>ト</t>
    </rPh>
    <rPh sb="2" eb="3">
      <t>サ</t>
    </rPh>
    <phoneticPr fontId="1"/>
  </si>
  <si>
    <t>・本画面に遷移し、各画面項目が表示されること
※シート「1-1-1各種画面項目(PC)」参照</t>
    <phoneticPr fontId="1"/>
  </si>
  <si>
    <t>９</t>
    <phoneticPr fontId="1"/>
  </si>
  <si>
    <t>●</t>
    <phoneticPr fontId="1"/>
  </si>
  <si>
    <t>パイオニア様ECサイト新規構築</t>
    <rPh sb="5" eb="6">
      <t>サマ</t>
    </rPh>
    <rPh sb="11" eb="13">
      <t>シンキ</t>
    </rPh>
    <rPh sb="13" eb="15">
      <t>コウチク</t>
    </rPh>
    <phoneticPr fontId="1"/>
  </si>
  <si>
    <t>正常系</t>
    <rPh sb="0" eb="3">
      <t>セイジョウケイ</t>
    </rPh>
    <phoneticPr fontId="1"/>
  </si>
  <si>
    <t>２</t>
    <phoneticPr fontId="1"/>
  </si>
  <si>
    <t>※パターン2、パターン3</t>
    <phoneticPr fontId="1"/>
  </si>
  <si>
    <t>異常系</t>
    <rPh sb="0" eb="3">
      <t>イジョウケイ</t>
    </rPh>
    <phoneticPr fontId="1"/>
  </si>
  <si>
    <t>10</t>
    <phoneticPr fontId="1"/>
  </si>
  <si>
    <t>11</t>
    <phoneticPr fontId="1"/>
  </si>
  <si>
    <t>12</t>
    <phoneticPr fontId="1"/>
  </si>
  <si>
    <t>13</t>
    <phoneticPr fontId="1"/>
  </si>
  <si>
    <t>14</t>
    <phoneticPr fontId="1"/>
  </si>
  <si>
    <t>15</t>
    <phoneticPr fontId="1"/>
  </si>
  <si>
    <t>4</t>
    <phoneticPr fontId="1"/>
  </si>
  <si>
    <t>5</t>
    <phoneticPr fontId="1"/>
  </si>
  <si>
    <t>OK</t>
    <phoneticPr fontId="1"/>
  </si>
  <si>
    <t>6</t>
    <phoneticPr fontId="1"/>
  </si>
  <si>
    <t>7</t>
    <phoneticPr fontId="1"/>
  </si>
  <si>
    <t>8</t>
    <phoneticPr fontId="1"/>
  </si>
  <si>
    <t>9</t>
    <phoneticPr fontId="1"/>
  </si>
  <si>
    <t>16</t>
    <phoneticPr fontId="1"/>
  </si>
  <si>
    <t>MW鄭</t>
    <rPh sb="2" eb="3">
      <t>テイ</t>
    </rPh>
    <phoneticPr fontId="1"/>
  </si>
  <si>
    <t>LINE</t>
  </si>
  <si>
    <t>ソーシャルプラスのダッシュボードを設定（サイトを新規）</t>
    <rPh sb="17" eb="19">
      <t>セッテイ</t>
    </rPh>
    <rPh sb="24" eb="26">
      <t>シンキ</t>
    </rPh>
    <phoneticPr fontId="1"/>
  </si>
  <si>
    <t>ソーシャルプラスのダッシュボードを設定（プロバイダー連携）</t>
    <rPh sb="17" eb="19">
      <t>セッテイ</t>
    </rPh>
    <rPh sb="26" eb="28">
      <t>レンケイ</t>
    </rPh>
    <phoneticPr fontId="1"/>
  </si>
  <si>
    <t>LINEダッシュボードを設定（providerを新規）</t>
    <rPh sb="12" eb="14">
      <t>セッテイ</t>
    </rPh>
    <rPh sb="24" eb="26">
      <t>シンキ</t>
    </rPh>
    <phoneticPr fontId="1"/>
  </si>
  <si>
    <t>ソーシャルプラスで「URL」を自動的に作成した物をLINEの「provider」の「CallBack　URL」に設定</t>
    <phoneticPr fontId="1"/>
  </si>
  <si>
    <t>LINE連携のボタン画面表示</t>
    <rPh sb="4" eb="6">
      <t>レンケイ</t>
    </rPh>
    <rPh sb="10" eb="12">
      <t>ガメン</t>
    </rPh>
    <rPh sb="12" eb="14">
      <t>ヒョウジ</t>
    </rPh>
    <phoneticPr fontId="1"/>
  </si>
  <si>
    <t>LINE連携のログイン画面表示</t>
    <rPh sb="4" eb="6">
      <t>レンケイ</t>
    </rPh>
    <rPh sb="11" eb="15">
      <t>ガメンヒョウジ</t>
    </rPh>
    <phoneticPr fontId="1"/>
  </si>
  <si>
    <t>LINEの連携のCallBack　Functionを実行されること</t>
    <rPh sb="5" eb="7">
      <t>レンケイ</t>
    </rPh>
    <rPh sb="26" eb="28">
      <t>ジッコウ</t>
    </rPh>
    <phoneticPr fontId="1"/>
  </si>
  <si>
    <t>LINEの連携のCallBack　Functionを実行される時に「token、status」パラメータがあること</t>
    <rPh sb="5" eb="7">
      <t>レンケイ</t>
    </rPh>
    <rPh sb="26" eb="28">
      <t>ジッコウ</t>
    </rPh>
    <rPh sb="31" eb="32">
      <t>トキ</t>
    </rPh>
    <phoneticPr fontId="1"/>
  </si>
  <si>
    <t>LINEの連携の認証APIを実行すること</t>
    <rPh sb="8" eb="10">
      <t>ニンショウ</t>
    </rPh>
    <rPh sb="14" eb="16">
      <t>ジッコウ</t>
    </rPh>
    <phoneticPr fontId="1"/>
  </si>
  <si>
    <t>パラメータの中にPLUS ID（identifier）があること</t>
    <rPh sb="6" eb="7">
      <t>ナカ</t>
    </rPh>
    <phoneticPr fontId="1"/>
  </si>
  <si>
    <t>鄭</t>
    <rPh sb="0" eb="1">
      <t xml:space="preserve">テイ </t>
    </rPh>
    <phoneticPr fontId="1"/>
  </si>
  <si>
    <r>
      <t xml:space="preserve">LINE
・前提
</t>
    </r>
    <r>
      <rPr>
        <sz val="9"/>
        <color rgb="FF000000"/>
        <rFont val="Meiryo"/>
        <family val="2"/>
        <charset val="128"/>
      </rPr>
      <t xml:space="preserve">・・なし
・実施
</t>
    </r>
    <r>
      <rPr>
        <sz val="9"/>
        <color rgb="FF000000"/>
        <rFont val="メイリオ"/>
        <family val="3"/>
        <charset val="128"/>
      </rPr>
      <t>・・ログインのボタンを押すこと</t>
    </r>
    <rPh sb="4" eb="6">
      <t>ゼンテイ</t>
    </rPh>
    <rPh sb="11" eb="13">
      <t xml:space="preserve">ジッシ </t>
    </rPh>
    <rPh sb="29" eb="30">
      <t>オス</t>
    </rPh>
    <phoneticPr fontId="1"/>
  </si>
  <si>
    <r>
      <t xml:space="preserve">GOOGLE
・前提
</t>
    </r>
    <r>
      <rPr>
        <sz val="9"/>
        <color rgb="FF000000"/>
        <rFont val="Meiryo"/>
        <family val="2"/>
        <charset val="128"/>
      </rPr>
      <t xml:space="preserve">・・なし
・実施
</t>
    </r>
    <r>
      <rPr>
        <sz val="9"/>
        <color rgb="FF000000"/>
        <rFont val="メイリオ"/>
        <family val="3"/>
        <charset val="128"/>
      </rPr>
      <t>・・ログインのボタンを押すこと</t>
    </r>
    <rPh sb="6" eb="8">
      <t>ゼンテイ</t>
    </rPh>
    <rPh sb="13" eb="15">
      <t xml:space="preserve">ジッシ </t>
    </rPh>
    <rPh sb="31" eb="32">
      <t>オス</t>
    </rPh>
    <phoneticPr fontId="1"/>
  </si>
  <si>
    <r>
      <t>登録済み
    前提：
１、ソーシャルプラスのダッシュボードを設定（サイトを新規）
２、ソーシャルプラスで「URL」を自動的に作成した物をLINEの「provider」の「CallBack　URL」に設定
３、テスト画面（テスト画面の中に「LINE、GOOGLE、YAHOO」）
４、ボタンURLを設定：https://23f8770a7e.auth.socialplus.jp/shiba_naoto/pioneer/line/authenticate?</t>
    </r>
    <r>
      <rPr>
        <b/>
        <sz val="9"/>
        <rFont val="メイリオ"/>
        <family val="2"/>
        <charset val="128"/>
      </rPr>
      <t>callback=https%3A%2F%2Fbgsz-003.sandbox.us01.dx.commercecloud.salesforce.com%2Fon%2Fdemandware.store%2FSites-Pioneer_tei-Site%2Fja_JP%2FSocialplus-Callback</t>
    </r>
    <rPh sb="0" eb="2">
      <t>トウロク</t>
    </rPh>
    <rPh sb="2" eb="3">
      <t xml:space="preserve">ズミ </t>
    </rPh>
    <rPh sb="109" eb="111">
      <t>ガメn</t>
    </rPh>
    <rPh sb="118" eb="119">
      <t>ナカニ</t>
    </rPh>
    <rPh sb="150" eb="152">
      <t>セッテイ</t>
    </rPh>
    <phoneticPr fontId="1"/>
  </si>
  <si>
    <t>・デバッグ確認：SFCCのSocialplus-Callbackのファンクションを実行されたこと</t>
    <rPh sb="7" eb="8">
      <t>カクニン</t>
    </rPh>
    <rPh sb="41" eb="43">
      <t>ジッコウ</t>
    </rPh>
    <rPh sb="88" eb="90">
      <t>ジッコウ</t>
    </rPh>
    <rPh sb="135" eb="137">
      <t>ニンショウ</t>
    </rPh>
    <rPh sb="140" eb="143">
      <t xml:space="preserve">ジッコウ </t>
    </rPh>
    <rPh sb="153" eb="154">
      <t>ナカ</t>
    </rPh>
    <rPh sb="186" eb="188">
      <t>ガメn</t>
    </rPh>
    <rPh sb="213" eb="217">
      <t>コジn</t>
    </rPh>
    <phoneticPr fontId="1"/>
  </si>
  <si>
    <t>・デバッグ確認：SFCCのSocialplus-Callbackのファンクションを実行されたあとで「token、status」パラメータがあること</t>
    <phoneticPr fontId="1"/>
  </si>
  <si>
    <t>・デバッグ確認：LINEの認証API実行後でレスポンスボデイの中に「PLUS ID（identifier）」があること</t>
    <phoneticPr fontId="1"/>
  </si>
  <si>
    <t>・テスト画面確認：LINEのユーザープロファイルAPI実行後で個人情報があること</t>
    <phoneticPr fontId="1"/>
  </si>
  <si>
    <t>・ログイン不要の画面（仮）を表示させること</t>
    <phoneticPr fontId="1"/>
  </si>
  <si>
    <t>・セッションが表示させること</t>
    <phoneticPr fontId="1"/>
  </si>
  <si>
    <t>・ホームページの画面を表示されること</t>
    <phoneticPr fontId="1"/>
  </si>
  <si>
    <t>GOOGLE
・前提
・・なし
・実施
・・ログインのボタンを押すこと</t>
    <phoneticPr fontId="1"/>
  </si>
  <si>
    <t>YAHOO
・前提
・・なし
・実施
・・ログインのボタンを押すこと</t>
    <phoneticPr fontId="1"/>
  </si>
  <si>
    <t>APPLE
・前提
・・なし
・実施
・・ログインのボタンを押すこと</t>
    <phoneticPr fontId="1"/>
  </si>
  <si>
    <t>登録あり
    前提：
１、ソーシャルプラスのダッシュボードを設定（サイトを新規）
２、ソーシャルプラスで「URL」を自動的に作成した物をLINEの「provider」の「CallBack　URL」に設定
３、テスト画面（テスト画面の中に「LINE、GOOGLE、YAHOO」）
４、ボタンURLを設定：https://23f8770a7e.auth.socialplus.jp/shiba_naoto/pioneer/line/authenticate?callback=https%3A%2F%2Fbgsz-003.sandbox.us01.dx.commercecloud.salesforce.com%2Fon%2Fdemandware.store%2FSites-Pioneer_tei-Site%2Fja_JP%2FSocialplus-Callback</t>
    <phoneticPr fontId="1"/>
  </si>
  <si>
    <t>LINE
・前提
・・なし
・実施
・・ログインのボタンを押すこと</t>
    <phoneticPr fontId="1"/>
  </si>
  <si>
    <t>登録済み
    前提：
１、ソーシャルプラスのダッシュボードを設定（サイトを新規）
２、ソーシャルプラスで「URL」を自動的に作成した物をLINEの「provider」の「CallBack　URL」に設定
３、テスト画面（テスト画面の中に「LINE、GOOGLE、YAHOO」）
４、ボタンURLを設定：https://23f8770a7e.auth.socialplus.jp/shiba_naoto/pioneer/line/authenticate?callback=https%3A%2F%2Fbgsz-003.sandbox.us01.dx.commercecloud.salesforce.com%2Fon%2Fdemandware.store%2FSites-Pioneer_tei-Site%2Fja_JP%2FSocialplus-Callback</t>
    <phoneticPr fontId="1"/>
  </si>
  <si>
    <t>3</t>
  </si>
  <si>
    <t>Social Login</t>
  </si>
  <si>
    <t>Social Login</t>
    <phoneticPr fontId="1"/>
  </si>
  <si>
    <t>・デバッグ確認：SFCCのSocialplus-Callbackのファンクションをコールバックすること</t>
    <rPh sb="7" eb="8">
      <t>カクニン</t>
    </rPh>
    <rPh sb="41" eb="43">
      <t>ジッコウ</t>
    </rPh>
    <rPh sb="87" eb="89">
      <t>ジッコウ</t>
    </rPh>
    <rPh sb="134" eb="136">
      <t>ニンショウ</t>
    </rPh>
    <rPh sb="139" eb="142">
      <t xml:space="preserve">ジッコウ </t>
    </rPh>
    <rPh sb="152" eb="153">
      <t>ナカ</t>
    </rPh>
    <rPh sb="185" eb="187">
      <t>ガメn</t>
    </rPh>
    <rPh sb="212" eb="216">
      <t>コジn</t>
    </rPh>
    <phoneticPr fontId="1"/>
  </si>
  <si>
    <t>・デバッグ確認：SFCCのSocialplus-Callbackのファンクションをコールバック後で「token、status」パラメータが返却こと</t>
    <rPh sb="43" eb="44">
      <t>g</t>
    </rPh>
    <phoneticPr fontId="1"/>
  </si>
  <si>
    <t>・デバッグ確認：「token」でLINEの認証API実行後でレスポンスボデイの中に「PLUS ID（identifier）」が返却すること</t>
    <phoneticPr fontId="1"/>
  </si>
  <si>
    <t>・テスト画面確認：「PLUS ID（identifier）」でLINEのユーザープロファイルAPI実行後で個人情報が返却すること</t>
    <phoneticPr fontId="1"/>
  </si>
  <si>
    <t>・ログイン不要の画面（仮）画面にLINEのユーザープロファイルを表示させること</t>
    <rPh sb="19" eb="21">
      <t>ガメn</t>
    </rPh>
    <rPh sb="40" eb="41">
      <t>_x0000__x0013__x0002_</t>
    </rPh>
    <rPh sb="40" eb="41">
      <t>_x0003_(_x0001_</t>
    </rPh>
    <rPh sb="40" eb="42">
      <t>_x0006_(_x0001_</t>
    </rPh>
    <rPh sb="40" eb="42">
      <t/>
    </rPh>
    <phoneticPr fontId="1"/>
  </si>
  <si>
    <t>・デバッグ確認：セッションの中に「PLUS ID（identifier）」を保持すること</t>
    <rPh sb="14" eb="15">
      <t>ナカニ</t>
    </rPh>
    <rPh sb="38" eb="40">
      <t>_x0000__x000E__x0001_</t>
    </rPh>
    <rPh sb="38" eb="40">
      <t/>
    </rPh>
    <phoneticPr fontId="1"/>
  </si>
  <si>
    <r>
      <t>登録あり
    前提：
１、ソーシャルプラスのダッシュボードを設定（サイトを新規）
２、ソーシャルプラスで「URL」を自動的に作成した物をLINEの「provider」の「CallBack　URL」に設定
３、テスト画面（仮）（テスト画面の中に「LINE、GOOGLE、YAHOO」）
４、LINEロゴインボタンURLを設定：https://23f8770a7e.auth.socialplus.jp/shiba_naoto/pioneer/line/authenticate?</t>
    </r>
    <r>
      <rPr>
        <b/>
        <sz val="9"/>
        <rFont val="メイリオ"/>
        <family val="2"/>
        <charset val="128"/>
      </rPr>
      <t>callback=https%3A%2F%2Fbgsz-003.sandbox.us01.dx.commercecloud.salesforce.com%2Fon%2Fdemandware.store%2FSites-Pioneer_tei-Site%2Fja_JP%2FSocialplus-Callback</t>
    </r>
    <rPh sb="0" eb="2">
      <t>トウロク</t>
    </rPh>
    <rPh sb="109" eb="111">
      <t>ガメn</t>
    </rPh>
    <rPh sb="118" eb="119">
      <t>ナカニ</t>
    </rPh>
    <rPh sb="158" eb="160">
      <t>セッテイ</t>
    </rPh>
    <phoneticPr fontId="1"/>
  </si>
  <si>
    <t>・デバッグ確認：「token」でLINEの認証API実行後でレスポンスボデイの中に「PLUS ID（identifier）、userKey（primary_key）」が返却すること</t>
    <phoneticPr fontId="1"/>
  </si>
  <si>
    <t>・デバッグ確認：SFCCのSocialplus-Callbackのファンクションをコールバック後で「token、status」パラメータが返却すること</t>
    <rPh sb="43" eb="44">
      <t>g</t>
    </rPh>
    <phoneticPr fontId="1"/>
  </si>
  <si>
    <t>・デバッグ確認：返却された「accessToken」をサーバーセッションに格納後で、セッションの中に「accessToken」があること</t>
    <phoneticPr fontId="1"/>
  </si>
  <si>
    <t>・デバッグ確認：「PLUS ID（identifier）、userKey（primary_key）」でSIMBAにトークンを要求後で「accessToken」が返却すること</t>
    <phoneticPr fontId="1"/>
  </si>
  <si>
    <t>・デバッグ確認：「accessToken」でSIMBAに会員情報を返却すること</t>
    <rPh sb="28" eb="32">
      <t>カイイn</t>
    </rPh>
    <phoneticPr fontId="1"/>
  </si>
  <si>
    <t>・ホームページ画面確認：ホームページ左上に会員情報を表示すること</t>
    <phoneticPr fontId="1"/>
  </si>
  <si>
    <t>・ブラウザのコントローラー確認：会員情報でSFCCにログインして、ブラウザに「cookie」を返却すること</t>
    <rPh sb="17" eb="19">
      <t>カク</t>
    </rPh>
    <phoneticPr fontId="1"/>
  </si>
  <si>
    <t>・fatalログ確認："Socialplus Profile APIのエラーが発生しました。"のメッセージを出力されること。</t>
    <phoneticPr fontId="1"/>
  </si>
  <si>
    <t>・fatalログ確認：ソーシャルログインに認証APIエラー；"Socialplus Auth APIのエラーが発生しました。"のメッセージを出力されること。</t>
    <rPh sb="7" eb="8">
      <t>カクニン</t>
    </rPh>
    <rPh sb="21" eb="23">
      <t>ニンショウ</t>
    </rPh>
    <rPh sb="40" eb="42">
      <t>ジッコウ</t>
    </rPh>
    <rPh sb="87" eb="89">
      <t>ジッコウ</t>
    </rPh>
    <rPh sb="134" eb="136">
      <t>ニンショウ</t>
    </rPh>
    <rPh sb="139" eb="142">
      <t xml:space="preserve">ジッコウ </t>
    </rPh>
    <rPh sb="152" eb="153">
      <t>ナカ</t>
    </rPh>
    <rPh sb="185" eb="187">
      <t>ガメn</t>
    </rPh>
    <rPh sb="212" eb="216">
      <t>コジn</t>
    </rPh>
    <phoneticPr fontId="1"/>
  </si>
  <si>
    <t>・fatalログ確認：ソーシャルログインに認証して返却される情報の中に「userKey（primary_key）」不存在；"userKeyがバインドされていないのエラーが発生しました。"のメッセージを出力されること。</t>
    <rPh sb="25" eb="27">
      <t>ヘンキャク</t>
    </rPh>
    <rPh sb="30" eb="32">
      <t>ジョウホウ</t>
    </rPh>
    <rPh sb="33" eb="34">
      <t>ナカ</t>
    </rPh>
    <rPh sb="57" eb="60">
      <t>フソn</t>
    </rPh>
    <phoneticPr fontId="1"/>
  </si>
  <si>
    <t>・fatalログ確認：SIMBAに「accessToken」を要求する時に、「PLUS ID（identifier）、userKey（primary_key）」で会員情報が不存在；"会員情報が不存在のエラーが発生しました。"のメッセージを出力されること。</t>
    <rPh sb="81" eb="85">
      <t>カイイn</t>
    </rPh>
    <phoneticPr fontId="1"/>
  </si>
  <si>
    <t>・fatalログ確認：会員情報でSFCCにログインエラー；"会員情報でSFCCにログインエラーが発生しました。"のメッセージを出力されること。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</si>
</sst>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176" formatCode="mm/dd"/>
    <numFmt numFmtId="177" formatCode="0_);[Red]\(0\)"/>
  </numFmts>
  <fonts count="5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11"/>
      <name val="ＭＳ 明朝"/>
      <family val="1"/>
      <charset val="128"/>
    </font>
    <font>
      <u/>
      <sz val="10"/>
      <color indexed="36"/>
      <name val="Arial"/>
      <family val="2"/>
    </font>
    <font>
      <u/>
      <sz val="8"/>
      <color indexed="12"/>
      <name val="Times New Roman"/>
      <family val="1"/>
    </font>
    <font>
      <sz val="9"/>
      <color indexed="81"/>
      <name val="ＭＳ Ｐゴシック"/>
      <family val="3"/>
      <charset val="128"/>
    </font>
    <font>
      <sz val="11"/>
      <color theme="1"/>
      <name val="ＭＳ Ｐゴシック"/>
      <family val="2"/>
      <charset val="128"/>
      <scheme val="minor"/>
    </font>
    <font>
      <sz val="12"/>
      <color indexed="8"/>
      <name val="メイリオ"/>
      <family val="3"/>
      <charset val="128"/>
    </font>
    <font>
      <sz val="9"/>
      <color indexed="8"/>
      <name val="メイリオ"/>
      <family val="3"/>
      <charset val="128"/>
    </font>
    <font>
      <sz val="11"/>
      <color indexed="8"/>
      <name val="メイリオ"/>
      <family val="3"/>
      <charset val="128"/>
    </font>
    <font>
      <sz val="10"/>
      <color indexed="8"/>
      <name val="メイリオ"/>
      <family val="3"/>
      <charset val="128"/>
    </font>
    <font>
      <sz val="9"/>
      <color theme="0"/>
      <name val="メイリオ"/>
      <family val="3"/>
      <charset val="128"/>
    </font>
    <font>
      <sz val="11"/>
      <name val="メイリオ"/>
      <family val="3"/>
      <charset val="128"/>
    </font>
    <font>
      <sz val="10"/>
      <name val="メイリオ"/>
      <family val="3"/>
      <charset val="128"/>
    </font>
    <font>
      <sz val="9"/>
      <name val="メイリオ"/>
      <family val="3"/>
      <charset val="128"/>
    </font>
    <font>
      <sz val="12"/>
      <name val="メイリオ"/>
      <family val="3"/>
      <charset val="128"/>
    </font>
    <font>
      <b/>
      <u/>
      <sz val="11"/>
      <name val="メイリオ"/>
      <family val="3"/>
      <charset val="128"/>
    </font>
    <font>
      <sz val="14"/>
      <name val="メイリオ"/>
      <family val="3"/>
      <charset val="128"/>
    </font>
    <font>
      <b/>
      <sz val="9"/>
      <name val="メイリオ"/>
      <family val="3"/>
      <charset val="128"/>
    </font>
    <font>
      <sz val="9"/>
      <color theme="1"/>
      <name val="メイリオ"/>
      <family val="3"/>
      <charset val="128"/>
    </font>
    <font>
      <sz val="9"/>
      <color rgb="FF000000"/>
      <name val="メイリオ"/>
      <family val="3"/>
      <charset val="128"/>
    </font>
    <font>
      <sz val="11"/>
      <color rgb="FFFF0000"/>
      <name val="メイリオ"/>
      <family val="3"/>
      <charset val="128"/>
    </font>
    <font>
      <sz val="6"/>
      <color indexed="8"/>
      <name val="メイリオ"/>
      <family val="3"/>
      <charset val="128"/>
    </font>
    <font>
      <sz val="8"/>
      <name val="メイリオ"/>
      <family val="3"/>
      <charset val="128"/>
    </font>
    <font>
      <b/>
      <sz val="9"/>
      <color indexed="81"/>
      <name val="ＭＳ Ｐゴシック"/>
      <family val="3"/>
      <charset val="128"/>
    </font>
    <font>
      <b/>
      <sz val="11"/>
      <name val="メイリオ"/>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b/>
      <sz val="9"/>
      <color theme="1"/>
      <name val="メイリオ"/>
      <family val="3"/>
      <charset val="128"/>
    </font>
    <font>
      <u/>
      <sz val="11"/>
      <color theme="10"/>
      <name val="ＭＳ Ｐゴシック"/>
      <family val="2"/>
      <charset val="128"/>
      <scheme val="minor"/>
    </font>
    <font>
      <u/>
      <sz val="9"/>
      <color theme="10"/>
      <name val="メイリオ"/>
      <family val="3"/>
      <charset val="128"/>
    </font>
    <font>
      <sz val="10"/>
      <color theme="1"/>
      <name val="メイリオ"/>
      <family val="3"/>
      <charset val="128"/>
    </font>
    <font>
      <b/>
      <sz val="10"/>
      <color theme="1"/>
      <name val="メイリオ"/>
      <family val="3"/>
      <charset val="128"/>
    </font>
    <font>
      <strike/>
      <sz val="9"/>
      <name val="メイリオ"/>
      <family val="3"/>
      <charset val="128"/>
    </font>
    <font>
      <sz val="9"/>
      <color rgb="FF000000"/>
      <name val="ＭＳ Ｐゴシック"/>
      <family val="3"/>
      <charset val="128"/>
    </font>
    <font>
      <sz val="9"/>
      <color rgb="FFFF0000"/>
      <name val="メイリオ"/>
      <family val="3"/>
      <charset val="128"/>
    </font>
    <font>
      <b/>
      <sz val="11"/>
      <color rgb="FF000000"/>
      <name val="ＭＳ ゴシック"/>
      <family val="2"/>
      <charset val="128"/>
    </font>
    <font>
      <sz val="9"/>
      <color rgb="FF000000"/>
      <name val="Meiryo"/>
      <family val="2"/>
      <charset val="128"/>
    </font>
    <font>
      <b/>
      <sz val="9"/>
      <name val="メイリオ"/>
      <family val="2"/>
      <charset val="128"/>
    </font>
    <font>
      <sz val="9"/>
      <color rgb="FF000000"/>
      <name val="ＭＳ Ｐゴシック"/>
      <family val="2"/>
      <charset val="128"/>
    </font>
    <font>
      <b/>
      <sz val="9"/>
      <color rgb="FF000000"/>
      <name val="ＭＳ Ｐゴシック"/>
      <family val="2"/>
      <charset val="128"/>
    </font>
  </fonts>
  <fills count="42">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002060"/>
        <bgColor indexed="64"/>
      </patternFill>
    </fill>
    <fill>
      <patternFill patternType="solid">
        <fgColor indexed="44"/>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CFFCC"/>
        <bgColor indexed="64"/>
      </patternFill>
    </fill>
    <fill>
      <patternFill patternType="solid">
        <fgColor rgb="FF99CCFF"/>
        <bgColor indexed="64"/>
      </patternFill>
    </fill>
    <fill>
      <patternFill patternType="solid">
        <fgColor theme="0" tint="-0.34998626667073579"/>
        <bgColor indexed="64"/>
      </patternFill>
    </fill>
    <fill>
      <patternFill patternType="solid">
        <fgColor theme="9" tint="0.79998168889431442"/>
        <bgColor indexed="64"/>
      </patternFill>
    </fill>
  </fills>
  <borders count="8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theme="0"/>
      </left>
      <right style="thin">
        <color theme="0"/>
      </right>
      <top/>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theme="0"/>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rgb="FFFF0000"/>
      </right>
      <top/>
      <bottom/>
      <diagonal/>
    </border>
    <border>
      <left/>
      <right/>
      <top/>
      <bottom style="double">
        <color rgb="FFFF0000"/>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style="double">
        <color rgb="FFFF0000"/>
      </bottom>
      <diagonal/>
    </border>
    <border>
      <left/>
      <right style="double">
        <color rgb="FFFF0000"/>
      </right>
      <top/>
      <bottom style="double">
        <color rgb="FFFF0000"/>
      </bottom>
      <diagonal/>
    </border>
    <border>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hair">
        <color indexed="64"/>
      </bottom>
      <diagonal/>
    </border>
    <border>
      <left style="medium">
        <color indexed="64"/>
      </left>
      <right/>
      <top/>
      <bottom style="hair">
        <color indexed="64"/>
      </bottom>
      <diagonal/>
    </border>
    <border>
      <left style="thin">
        <color indexed="64"/>
      </left>
      <right style="medium">
        <color indexed="64"/>
      </right>
      <top/>
      <bottom style="hair">
        <color indexed="64"/>
      </bottom>
      <diagonal/>
    </border>
    <border>
      <left style="thin">
        <color theme="0" tint="-0.14999847407452621"/>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style="thin">
        <color theme="0" tint="-0.14999847407452621"/>
      </right>
      <top/>
      <bottom/>
      <diagonal/>
    </border>
    <border>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style="thin">
        <color theme="0" tint="-0.14999847407452621"/>
      </right>
      <top/>
      <bottom/>
      <diagonal/>
    </border>
    <border>
      <left/>
      <right style="thin">
        <color theme="0" tint="-0.14999847407452621"/>
      </right>
      <top/>
      <bottom style="thin">
        <color theme="0" tint="-0.14999847407452621"/>
      </bottom>
      <diagonal/>
    </border>
    <border>
      <left style="thin">
        <color indexed="64"/>
      </left>
      <right style="medium">
        <color indexed="64"/>
      </right>
      <top style="hair">
        <color indexed="64"/>
      </top>
      <bottom/>
      <diagonal/>
    </border>
    <border>
      <left style="thin">
        <color theme="1"/>
      </left>
      <right style="thin">
        <color theme="1"/>
      </right>
      <top style="thin">
        <color theme="1"/>
      </top>
      <bottom style="thin">
        <color theme="1"/>
      </bottom>
      <diagonal/>
    </border>
    <border>
      <left/>
      <right/>
      <top/>
      <bottom style="medium">
        <color theme="1"/>
      </bottom>
      <diagonal/>
    </border>
    <border>
      <left style="thin">
        <color theme="1"/>
      </left>
      <right style="thin">
        <color theme="1"/>
      </right>
      <top/>
      <bottom style="thin">
        <color theme="1"/>
      </bottom>
      <diagonal/>
    </border>
    <border>
      <left style="thin">
        <color theme="1"/>
      </left>
      <right/>
      <top/>
      <bottom style="thin">
        <color theme="0" tint="-0.14999847407452621"/>
      </bottom>
      <diagonal/>
    </border>
  </borders>
  <cellStyleXfs count="51">
    <xf numFmtId="0" fontId="0" fillId="0" borderId="0">
      <alignment vertical="center"/>
    </xf>
    <xf numFmtId="0" fontId="4"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40" fontId="7" fillId="0" borderId="0" applyFont="0" applyFill="0" applyBorder="0" applyAlignment="0" applyProtection="0">
      <alignment vertical="center"/>
    </xf>
    <xf numFmtId="38" fontId="7" fillId="0" borderId="0" applyFont="0" applyFill="0" applyBorder="0" applyAlignment="0" applyProtection="0">
      <alignment vertical="center"/>
    </xf>
    <xf numFmtId="8" fontId="7" fillId="0" borderId="0" applyFont="0" applyFill="0" applyBorder="0" applyAlignment="0" applyProtection="0">
      <alignment vertical="center"/>
    </xf>
    <xf numFmtId="6" fontId="7" fillId="0" borderId="0" applyFont="0" applyFill="0" applyBorder="0" applyAlignment="0" applyProtection="0">
      <alignment vertical="center"/>
    </xf>
    <xf numFmtId="9" fontId="7" fillId="0" borderId="0" applyFont="0" applyFill="0" applyBorder="0" applyAlignment="0" applyProtection="0">
      <alignment vertical="center"/>
    </xf>
    <xf numFmtId="0" fontId="27" fillId="0" borderId="0" applyNumberFormat="0" applyFill="0" applyBorder="0" applyAlignment="0" applyProtection="0">
      <alignment vertical="center"/>
    </xf>
    <xf numFmtId="0" fontId="28" fillId="0" borderId="52" applyNumberFormat="0" applyFill="0" applyAlignment="0" applyProtection="0">
      <alignment vertical="center"/>
    </xf>
    <xf numFmtId="0" fontId="29" fillId="0" borderId="53" applyNumberFormat="0" applyFill="0" applyAlignment="0" applyProtection="0">
      <alignment vertical="center"/>
    </xf>
    <xf numFmtId="0" fontId="30" fillId="0" borderId="54" applyNumberFormat="0" applyFill="0" applyAlignment="0" applyProtection="0">
      <alignment vertical="center"/>
    </xf>
    <xf numFmtId="0" fontId="30" fillId="0" borderId="0" applyNumberFormat="0" applyFill="0" applyBorder="0" applyAlignment="0" applyProtection="0">
      <alignment vertical="center"/>
    </xf>
    <xf numFmtId="0" fontId="31" fillId="7" borderId="0" applyNumberFormat="0" applyBorder="0" applyAlignment="0" applyProtection="0">
      <alignment vertical="center"/>
    </xf>
    <xf numFmtId="0" fontId="32" fillId="8" borderId="0" applyNumberFormat="0" applyBorder="0" applyAlignment="0" applyProtection="0">
      <alignment vertical="center"/>
    </xf>
    <xf numFmtId="0" fontId="33" fillId="9" borderId="0" applyNumberFormat="0" applyBorder="0" applyAlignment="0" applyProtection="0">
      <alignment vertical="center"/>
    </xf>
    <xf numFmtId="0" fontId="34" fillId="10" borderId="55" applyNumberFormat="0" applyAlignment="0" applyProtection="0">
      <alignment vertical="center"/>
    </xf>
    <xf numFmtId="0" fontId="35" fillId="11" borderId="56" applyNumberFormat="0" applyAlignment="0" applyProtection="0">
      <alignment vertical="center"/>
    </xf>
    <xf numFmtId="0" fontId="36" fillId="11" borderId="55" applyNumberFormat="0" applyAlignment="0" applyProtection="0">
      <alignment vertical="center"/>
    </xf>
    <xf numFmtId="0" fontId="37" fillId="0" borderId="57" applyNumberFormat="0" applyFill="0" applyAlignment="0" applyProtection="0">
      <alignment vertical="center"/>
    </xf>
    <xf numFmtId="0" fontId="38" fillId="12" borderId="58" applyNumberFormat="0" applyAlignment="0" applyProtection="0">
      <alignment vertical="center"/>
    </xf>
    <xf numFmtId="0" fontId="39" fillId="0" borderId="0" applyNumberFormat="0" applyFill="0" applyBorder="0" applyAlignment="0" applyProtection="0">
      <alignment vertical="center"/>
    </xf>
    <xf numFmtId="0" fontId="7" fillId="13" borderId="59" applyNumberFormat="0" applyFont="0" applyAlignment="0" applyProtection="0">
      <alignment vertical="center"/>
    </xf>
    <xf numFmtId="0" fontId="40" fillId="0" borderId="0" applyNumberFormat="0" applyFill="0" applyBorder="0" applyAlignment="0" applyProtection="0">
      <alignment vertical="center"/>
    </xf>
    <xf numFmtId="0" fontId="41" fillId="0" borderId="60" applyNumberFormat="0" applyFill="0" applyAlignment="0" applyProtection="0">
      <alignment vertical="center"/>
    </xf>
    <xf numFmtId="0" fontId="42" fillId="14" borderId="0" applyNumberFormat="0" applyBorder="0" applyAlignment="0" applyProtection="0">
      <alignment vertical="center"/>
    </xf>
    <xf numFmtId="0" fontId="7" fillId="15" borderId="0" applyNumberFormat="0" applyBorder="0" applyAlignment="0" applyProtection="0">
      <alignment vertical="center"/>
    </xf>
    <xf numFmtId="0" fontId="7" fillId="16" borderId="0" applyNumberFormat="0" applyBorder="0" applyAlignment="0" applyProtection="0">
      <alignment vertical="center"/>
    </xf>
    <xf numFmtId="0" fontId="42" fillId="17" borderId="0" applyNumberFormat="0" applyBorder="0" applyAlignment="0" applyProtection="0">
      <alignment vertical="center"/>
    </xf>
    <xf numFmtId="0" fontId="42" fillId="18" borderId="0" applyNumberFormat="0" applyBorder="0" applyAlignment="0" applyProtection="0">
      <alignment vertical="center"/>
    </xf>
    <xf numFmtId="0" fontId="7" fillId="19" borderId="0" applyNumberFormat="0" applyBorder="0" applyAlignment="0" applyProtection="0">
      <alignment vertical="center"/>
    </xf>
    <xf numFmtId="0" fontId="7" fillId="20" borderId="0" applyNumberFormat="0" applyBorder="0" applyAlignment="0" applyProtection="0">
      <alignment vertical="center"/>
    </xf>
    <xf numFmtId="0" fontId="42" fillId="21" borderId="0" applyNumberFormat="0" applyBorder="0" applyAlignment="0" applyProtection="0">
      <alignment vertical="center"/>
    </xf>
    <xf numFmtId="0" fontId="42" fillId="22" borderId="0" applyNumberFormat="0" applyBorder="0" applyAlignment="0" applyProtection="0">
      <alignment vertical="center"/>
    </xf>
    <xf numFmtId="0" fontId="7" fillId="23" borderId="0" applyNumberFormat="0" applyBorder="0" applyAlignment="0" applyProtection="0">
      <alignment vertical="center"/>
    </xf>
    <xf numFmtId="0" fontId="7" fillId="24" borderId="0" applyNumberFormat="0" applyBorder="0" applyAlignment="0" applyProtection="0">
      <alignment vertical="center"/>
    </xf>
    <xf numFmtId="0" fontId="42" fillId="25" borderId="0" applyNumberFormat="0" applyBorder="0" applyAlignment="0" applyProtection="0">
      <alignment vertical="center"/>
    </xf>
    <xf numFmtId="0" fontId="42" fillId="26" borderId="0" applyNumberFormat="0" applyBorder="0" applyAlignment="0" applyProtection="0">
      <alignment vertical="center"/>
    </xf>
    <xf numFmtId="0" fontId="7" fillId="27" borderId="0" applyNumberFormat="0" applyBorder="0" applyAlignment="0" applyProtection="0">
      <alignment vertical="center"/>
    </xf>
    <xf numFmtId="0" fontId="7" fillId="28" borderId="0" applyNumberFormat="0" applyBorder="0" applyAlignment="0" applyProtection="0">
      <alignment vertical="center"/>
    </xf>
    <xf numFmtId="0" fontId="42" fillId="29" borderId="0" applyNumberFormat="0" applyBorder="0" applyAlignment="0" applyProtection="0">
      <alignment vertical="center"/>
    </xf>
    <xf numFmtId="0" fontId="42" fillId="30" borderId="0" applyNumberFormat="0" applyBorder="0" applyAlignment="0" applyProtection="0">
      <alignment vertical="center"/>
    </xf>
    <xf numFmtId="0" fontId="7" fillId="31" borderId="0" applyNumberFormat="0" applyBorder="0" applyAlignment="0" applyProtection="0">
      <alignment vertical="center"/>
    </xf>
    <xf numFmtId="0" fontId="7" fillId="32" borderId="0" applyNumberFormat="0" applyBorder="0" applyAlignment="0" applyProtection="0">
      <alignment vertical="center"/>
    </xf>
    <xf numFmtId="0" fontId="42" fillId="33" borderId="0" applyNumberFormat="0" applyBorder="0" applyAlignment="0" applyProtection="0">
      <alignment vertical="center"/>
    </xf>
    <xf numFmtId="0" fontId="42" fillId="34" borderId="0" applyNumberFormat="0" applyBorder="0" applyAlignment="0" applyProtection="0">
      <alignment vertical="center"/>
    </xf>
    <xf numFmtId="0" fontId="7" fillId="35" borderId="0" applyNumberFormat="0" applyBorder="0" applyAlignment="0" applyProtection="0">
      <alignment vertical="center"/>
    </xf>
    <xf numFmtId="0" fontId="7" fillId="36" borderId="0" applyNumberFormat="0" applyBorder="0" applyAlignment="0" applyProtection="0">
      <alignment vertical="center"/>
    </xf>
    <xf numFmtId="0" fontId="42" fillId="37" borderId="0" applyNumberFormat="0" applyBorder="0" applyAlignment="0" applyProtection="0">
      <alignment vertical="center"/>
    </xf>
    <xf numFmtId="0" fontId="44" fillId="0" borderId="0" applyNumberFormat="0" applyFill="0" applyBorder="0" applyAlignment="0" applyProtection="0">
      <alignment vertical="center"/>
    </xf>
    <xf numFmtId="0" fontId="44" fillId="0" borderId="0" applyNumberFormat="0" applyFill="0" applyBorder="0" applyAlignment="0" applyProtection="0">
      <alignment vertical="center"/>
    </xf>
  </cellStyleXfs>
  <cellXfs count="381">
    <xf numFmtId="0" fontId="0" fillId="0" borderId="0" xfId="0">
      <alignment vertical="center"/>
    </xf>
    <xf numFmtId="0" fontId="17" fillId="0" borderId="0" xfId="0" applyFont="1">
      <alignment vertical="center"/>
    </xf>
    <xf numFmtId="0" fontId="13" fillId="0" borderId="0" xfId="0" applyFont="1">
      <alignment vertical="center"/>
    </xf>
    <xf numFmtId="0" fontId="16" fillId="0" borderId="0" xfId="0" applyFont="1">
      <alignment vertical="center"/>
    </xf>
    <xf numFmtId="0" fontId="10" fillId="3" borderId="20" xfId="0" applyFont="1" applyFill="1" applyBorder="1" applyAlignment="1">
      <alignment horizontal="center" vertical="center"/>
    </xf>
    <xf numFmtId="0" fontId="13" fillId="3" borderId="20" xfId="0" applyFont="1" applyFill="1" applyBorder="1" applyAlignment="1">
      <alignment horizontal="center" vertical="center"/>
    </xf>
    <xf numFmtId="0" fontId="18" fillId="0" borderId="0" xfId="0" applyFont="1">
      <alignment vertical="center"/>
    </xf>
    <xf numFmtId="0" fontId="19" fillId="0" borderId="0" xfId="0" applyFont="1">
      <alignment vertical="center"/>
    </xf>
    <xf numFmtId="0" fontId="20" fillId="0" borderId="0" xfId="0" applyFont="1">
      <alignment vertical="center"/>
    </xf>
    <xf numFmtId="0" fontId="13" fillId="0" borderId="39" xfId="0" applyFont="1" applyBorder="1">
      <alignment vertical="center"/>
    </xf>
    <xf numFmtId="0" fontId="13" fillId="0" borderId="40" xfId="0" applyFont="1" applyBorder="1">
      <alignment vertical="center"/>
    </xf>
    <xf numFmtId="0" fontId="15" fillId="0" borderId="0" xfId="0" applyFont="1">
      <alignment vertical="center"/>
    </xf>
    <xf numFmtId="0" fontId="15" fillId="0" borderId="0" xfId="0" applyFont="1" applyAlignment="1">
      <alignment horizontal="left" vertical="center"/>
    </xf>
    <xf numFmtId="2" fontId="16" fillId="0" borderId="0" xfId="0" applyNumberFormat="1" applyFont="1">
      <alignment vertical="center"/>
    </xf>
    <xf numFmtId="0" fontId="26" fillId="0" borderId="0" xfId="0" applyFont="1">
      <alignment vertical="center"/>
    </xf>
    <xf numFmtId="0" fontId="43" fillId="38" borderId="0" xfId="0" applyFont="1" applyFill="1" applyAlignment="1">
      <alignment horizontal="center" vertical="center"/>
    </xf>
    <xf numFmtId="0" fontId="20" fillId="0" borderId="0" xfId="0" applyFont="1" applyAlignment="1">
      <alignment horizontal="left" vertical="center" indent="1"/>
    </xf>
    <xf numFmtId="0" fontId="20" fillId="0" borderId="0" xfId="0" applyFont="1" applyAlignment="1">
      <alignment horizontal="center" vertical="center"/>
    </xf>
    <xf numFmtId="0" fontId="45" fillId="0" borderId="0" xfId="0" applyFont="1" applyAlignment="1">
      <alignment horizontal="left" vertical="center" indent="1"/>
    </xf>
    <xf numFmtId="14" fontId="20" fillId="0" borderId="0" xfId="0" applyNumberFormat="1" applyFont="1" applyAlignment="1">
      <alignment horizontal="center" vertical="center"/>
    </xf>
    <xf numFmtId="0" fontId="46" fillId="0" borderId="0" xfId="0" applyFont="1" applyAlignment="1">
      <alignment horizontal="right" vertical="center" indent="1"/>
    </xf>
    <xf numFmtId="0" fontId="46" fillId="0" borderId="47" xfId="0" applyFont="1" applyBorder="1">
      <alignment vertical="center"/>
    </xf>
    <xf numFmtId="0" fontId="46" fillId="0" borderId="0" xfId="0" applyFont="1">
      <alignment vertical="center"/>
    </xf>
    <xf numFmtId="0" fontId="46" fillId="0" borderId="0" xfId="0" applyFont="1" applyBorder="1">
      <alignment vertical="center"/>
    </xf>
    <xf numFmtId="0" fontId="46" fillId="0" borderId="47" xfId="0" applyFont="1" applyBorder="1" applyAlignment="1">
      <alignment horizontal="center" vertical="center"/>
    </xf>
    <xf numFmtId="0" fontId="47" fillId="0" borderId="20" xfId="0" applyFont="1" applyBorder="1" applyAlignment="1">
      <alignment horizontal="center" vertical="center"/>
    </xf>
    <xf numFmtId="0" fontId="46" fillId="0" borderId="61" xfId="0" applyFont="1" applyBorder="1" applyAlignment="1">
      <alignment horizontal="right" vertical="center" indent="1"/>
    </xf>
    <xf numFmtId="0" fontId="46" fillId="0" borderId="61" xfId="0" applyFont="1" applyBorder="1" applyAlignment="1">
      <alignment horizontal="center" vertical="center"/>
    </xf>
    <xf numFmtId="0" fontId="46" fillId="0" borderId="24" xfId="0" applyFont="1" applyBorder="1" applyAlignment="1">
      <alignment horizontal="right" vertical="center" indent="1"/>
    </xf>
    <xf numFmtId="0" fontId="46" fillId="0" borderId="24" xfId="0" applyFont="1" applyBorder="1" applyAlignment="1">
      <alignment horizontal="center" vertical="center"/>
    </xf>
    <xf numFmtId="0" fontId="46" fillId="0" borderId="62" xfId="0" applyFont="1" applyBorder="1" applyAlignment="1">
      <alignment horizontal="right" vertical="center" indent="1"/>
    </xf>
    <xf numFmtId="0" fontId="46" fillId="0" borderId="62" xfId="0" applyFont="1" applyBorder="1" applyAlignment="1">
      <alignment horizontal="center" vertical="center"/>
    </xf>
    <xf numFmtId="0" fontId="8" fillId="0" borderId="0" xfId="0" applyNumberFormat="1" applyFont="1" applyFill="1" applyBorder="1" applyAlignment="1" applyProtection="1"/>
    <xf numFmtId="0" fontId="9" fillId="0" borderId="0" xfId="0" applyNumberFormat="1" applyFont="1" applyFill="1" applyBorder="1" applyAlignment="1" applyProtection="1"/>
    <xf numFmtId="0" fontId="13" fillId="0" borderId="0" xfId="0" applyNumberFormat="1" applyFont="1" applyFill="1" applyBorder="1" applyAlignment="1" applyProtection="1"/>
    <xf numFmtId="0" fontId="10" fillId="0" borderId="0" xfId="0" applyFont="1" applyFill="1" applyBorder="1" applyAlignment="1" applyProtection="1"/>
    <xf numFmtId="0" fontId="11" fillId="0" borderId="0" xfId="0" applyNumberFormat="1" applyFont="1" applyFill="1" applyBorder="1" applyAlignment="1" applyProtection="1">
      <alignment horizontal="right"/>
    </xf>
    <xf numFmtId="0" fontId="9" fillId="0" borderId="0" xfId="0" applyNumberFormat="1" applyFont="1" applyFill="1" applyBorder="1" applyAlignment="1" applyProtection="1">
      <alignment vertical="center"/>
    </xf>
    <xf numFmtId="0" fontId="8" fillId="0" borderId="0" xfId="0" applyNumberFormat="1" applyFont="1" applyAlignment="1" applyProtection="1"/>
    <xf numFmtId="0" fontId="9" fillId="0" borderId="0" xfId="0" applyFont="1" applyAlignment="1" applyProtection="1"/>
    <xf numFmtId="49" fontId="15" fillId="0" borderId="0" xfId="0" applyNumberFormat="1" applyFont="1" applyAlignment="1" applyProtection="1"/>
    <xf numFmtId="49" fontId="9" fillId="0" borderId="0" xfId="0" applyNumberFormat="1" applyFont="1" applyAlignment="1" applyProtection="1"/>
    <xf numFmtId="0" fontId="9" fillId="0" borderId="0" xfId="0" applyNumberFormat="1" applyFont="1" applyAlignment="1" applyProtection="1"/>
    <xf numFmtId="0" fontId="9" fillId="0" borderId="0" xfId="0" applyNumberFormat="1" applyFont="1" applyAlignment="1" applyProtection="1">
      <alignment vertical="center"/>
    </xf>
    <xf numFmtId="0" fontId="12" fillId="4" borderId="31" xfId="0" applyNumberFormat="1" applyFont="1" applyFill="1" applyBorder="1" applyAlignment="1" applyProtection="1"/>
    <xf numFmtId="0" fontId="15" fillId="4" borderId="0" xfId="0" applyNumberFormat="1" applyFont="1" applyFill="1" applyBorder="1" applyAlignment="1" applyProtection="1"/>
    <xf numFmtId="0" fontId="12" fillId="4" borderId="0" xfId="0" applyNumberFormat="1" applyFont="1" applyFill="1" applyBorder="1" applyAlignment="1" applyProtection="1">
      <alignment horizontal="right"/>
    </xf>
    <xf numFmtId="0" fontId="9" fillId="4" borderId="0" xfId="0" applyNumberFormat="1" applyFont="1" applyFill="1" applyAlignment="1" applyProtection="1"/>
    <xf numFmtId="0" fontId="12" fillId="4" borderId="6" xfId="0" applyNumberFormat="1" applyFont="1" applyFill="1" applyBorder="1" applyAlignment="1" applyProtection="1"/>
    <xf numFmtId="0" fontId="9" fillId="0" borderId="0" xfId="0" applyNumberFormat="1" applyFont="1" applyBorder="1" applyAlignment="1" applyProtection="1">
      <alignment horizontal="center" vertical="center"/>
    </xf>
    <xf numFmtId="0" fontId="9" fillId="0" borderId="0" xfId="0" applyNumberFormat="1" applyFont="1" applyBorder="1" applyAlignment="1" applyProtection="1"/>
    <xf numFmtId="0" fontId="12" fillId="4" borderId="31" xfId="0" applyFont="1" applyFill="1" applyBorder="1" applyAlignment="1" applyProtection="1"/>
    <xf numFmtId="49" fontId="15" fillId="4" borderId="0" xfId="0" applyNumberFormat="1" applyFont="1" applyFill="1" applyBorder="1" applyAlignment="1" applyProtection="1"/>
    <xf numFmtId="0" fontId="12" fillId="4" borderId="0" xfId="0" applyFont="1" applyFill="1" applyBorder="1" applyAlignment="1" applyProtection="1"/>
    <xf numFmtId="0" fontId="12" fillId="4" borderId="6" xfId="0" applyFont="1" applyFill="1" applyBorder="1" applyAlignment="1" applyProtection="1"/>
    <xf numFmtId="0" fontId="9" fillId="0" borderId="16" xfId="0" applyNumberFormat="1" applyFont="1" applyBorder="1" applyAlignment="1" applyProtection="1"/>
    <xf numFmtId="0" fontId="13" fillId="0" borderId="0" xfId="0" applyFont="1" applyFill="1" applyBorder="1" applyAlignment="1" applyProtection="1">
      <alignment horizontal="center" vertical="center" shrinkToFit="1"/>
    </xf>
    <xf numFmtId="0" fontId="15" fillId="5" borderId="5" xfId="0" applyFont="1" applyFill="1" applyBorder="1" applyAlignment="1" applyProtection="1">
      <alignment horizontal="center" vertical="center" shrinkToFit="1"/>
    </xf>
    <xf numFmtId="0" fontId="15" fillId="5" borderId="4" xfId="0" applyFont="1" applyFill="1" applyBorder="1" applyAlignment="1" applyProtection="1">
      <alignment horizontal="center" vertical="center" shrinkToFit="1"/>
    </xf>
    <xf numFmtId="0" fontId="9" fillId="0" borderId="35" xfId="0" applyNumberFormat="1" applyFont="1" applyBorder="1" applyAlignment="1" applyProtection="1">
      <alignment horizontal="center" vertical="center" shrinkToFit="1"/>
    </xf>
    <xf numFmtId="0" fontId="23" fillId="0" borderId="36" xfId="0" applyNumberFormat="1" applyFont="1" applyBorder="1" applyAlignment="1" applyProtection="1">
      <alignment horizontal="center" vertical="center"/>
    </xf>
    <xf numFmtId="0" fontId="23" fillId="0" borderId="37" xfId="0" applyNumberFormat="1" applyFont="1" applyBorder="1" applyAlignment="1" applyProtection="1">
      <alignment horizontal="center" vertical="center"/>
    </xf>
    <xf numFmtId="0" fontId="9" fillId="0" borderId="47" xfId="0" applyNumberFormat="1" applyFont="1" applyBorder="1" applyAlignment="1" applyProtection="1">
      <alignment vertical="center"/>
    </xf>
    <xf numFmtId="0" fontId="15" fillId="5" borderId="17" xfId="0" applyFont="1" applyFill="1" applyBorder="1" applyAlignment="1" applyProtection="1">
      <alignment shrinkToFit="1"/>
    </xf>
    <xf numFmtId="49" fontId="15" fillId="5" borderId="15" xfId="0" applyNumberFormat="1" applyFont="1" applyFill="1" applyBorder="1" applyAlignment="1" applyProtection="1"/>
    <xf numFmtId="49" fontId="15" fillId="5" borderId="16" xfId="0" applyNumberFormat="1" applyFont="1" applyFill="1" applyBorder="1" applyAlignment="1" applyProtection="1"/>
    <xf numFmtId="0" fontId="15" fillId="5" borderId="17" xfId="0" applyNumberFormat="1" applyFont="1" applyFill="1" applyBorder="1" applyAlignment="1" applyProtection="1"/>
    <xf numFmtId="0" fontId="15" fillId="5" borderId="16" xfId="0" applyNumberFormat="1" applyFont="1" applyFill="1" applyBorder="1" applyAlignment="1" applyProtection="1"/>
    <xf numFmtId="0" fontId="15" fillId="5" borderId="18" xfId="0" applyNumberFormat="1" applyFont="1" applyFill="1" applyBorder="1" applyAlignment="1" applyProtection="1">
      <alignment wrapText="1"/>
    </xf>
    <xf numFmtId="0" fontId="15" fillId="5" borderId="17" xfId="0" applyNumberFormat="1" applyFont="1" applyFill="1" applyBorder="1" applyAlignment="1" applyProtection="1">
      <alignment wrapText="1"/>
    </xf>
    <xf numFmtId="176" fontId="15" fillId="5" borderId="17" xfId="0" applyNumberFormat="1" applyFont="1" applyFill="1" applyBorder="1" applyAlignment="1" applyProtection="1">
      <alignment shrinkToFit="1"/>
    </xf>
    <xf numFmtId="0" fontId="15" fillId="5" borderId="17" xfId="0" applyFont="1" applyFill="1" applyBorder="1" applyAlignment="1" applyProtection="1">
      <alignment horizontal="center" shrinkToFit="1"/>
    </xf>
    <xf numFmtId="176" fontId="15" fillId="5" borderId="18" xfId="0" applyNumberFormat="1" applyFont="1" applyFill="1" applyBorder="1" applyAlignment="1" applyProtection="1">
      <alignment shrinkToFit="1"/>
    </xf>
    <xf numFmtId="0" fontId="15" fillId="5" borderId="18" xfId="0" applyFont="1" applyFill="1" applyBorder="1" applyAlignment="1" applyProtection="1">
      <alignment shrinkToFit="1"/>
    </xf>
    <xf numFmtId="0" fontId="15" fillId="5" borderId="18" xfId="0" applyNumberFormat="1" applyFont="1" applyFill="1" applyBorder="1" applyAlignment="1" applyProtection="1"/>
    <xf numFmtId="0" fontId="15" fillId="5" borderId="19" xfId="0" applyNumberFormat="1" applyFont="1" applyFill="1" applyBorder="1" applyAlignment="1" applyProtection="1"/>
    <xf numFmtId="0" fontId="9" fillId="0" borderId="12" xfId="0" applyNumberFormat="1" applyFont="1" applyBorder="1" applyAlignment="1" applyProtection="1"/>
    <xf numFmtId="0" fontId="9" fillId="0" borderId="32" xfId="0" applyNumberFormat="1" applyFont="1" applyBorder="1" applyAlignment="1" applyProtection="1"/>
    <xf numFmtId="0" fontId="9" fillId="0" borderId="48" xfId="0" applyNumberFormat="1" applyFont="1" applyBorder="1" applyAlignment="1" applyProtection="1">
      <alignment vertical="center"/>
    </xf>
    <xf numFmtId="0" fontId="16" fillId="0" borderId="0" xfId="0" applyNumberFormat="1" applyFont="1" applyFill="1" applyAlignment="1" applyProtection="1"/>
    <xf numFmtId="49" fontId="15" fillId="0" borderId="5" xfId="0" applyNumberFormat="1" applyFont="1" applyFill="1" applyBorder="1" applyAlignment="1" applyProtection="1">
      <alignment vertical="top" shrinkToFit="1"/>
    </xf>
    <xf numFmtId="49" fontId="15" fillId="0" borderId="26" xfId="0" applyNumberFormat="1" applyFont="1" applyFill="1" applyBorder="1" applyAlignment="1" applyProtection="1">
      <alignment vertical="top" shrinkToFit="1"/>
    </xf>
    <xf numFmtId="176" fontId="15" fillId="0" borderId="5" xfId="0" applyNumberFormat="1" applyFont="1" applyFill="1" applyBorder="1" applyAlignment="1" applyProtection="1">
      <alignment horizontal="center" vertical="top" shrinkToFit="1"/>
    </xf>
    <xf numFmtId="176" fontId="15" fillId="0" borderId="13" xfId="0" applyNumberFormat="1" applyFont="1" applyFill="1" applyBorder="1" applyAlignment="1" applyProtection="1">
      <alignment horizontal="center" vertical="top" shrinkToFit="1"/>
    </xf>
    <xf numFmtId="176" fontId="15" fillId="0" borderId="14" xfId="0" applyNumberFormat="1" applyFont="1" applyFill="1" applyBorder="1" applyAlignment="1" applyProtection="1">
      <alignment horizontal="center" vertical="top" shrinkToFit="1"/>
    </xf>
    <xf numFmtId="0" fontId="15" fillId="0" borderId="0" xfId="0" applyNumberFormat="1" applyFont="1" applyFill="1" applyAlignment="1" applyProtection="1"/>
    <xf numFmtId="0" fontId="15" fillId="0" borderId="0" xfId="0" applyNumberFormat="1" applyFont="1" applyFill="1" applyBorder="1" applyAlignment="1" applyProtection="1"/>
    <xf numFmtId="0" fontId="15" fillId="0" borderId="51" xfId="0" applyNumberFormat="1" applyFont="1" applyFill="1" applyBorder="1" applyAlignment="1" applyProtection="1">
      <alignment vertical="center"/>
    </xf>
    <xf numFmtId="49" fontId="21" fillId="6" borderId="28" xfId="0" applyNumberFormat="1" applyFont="1" applyFill="1" applyBorder="1" applyAlignment="1" applyProtection="1">
      <alignment vertical="top" shrinkToFit="1"/>
    </xf>
    <xf numFmtId="49" fontId="21" fillId="0" borderId="23" xfId="0" applyNumberFormat="1" applyFont="1" applyFill="1" applyBorder="1" applyAlignment="1" applyProtection="1">
      <alignment vertical="top" shrinkToFit="1"/>
    </xf>
    <xf numFmtId="176" fontId="21" fillId="0" borderId="23" xfId="0" applyNumberFormat="1" applyFont="1" applyFill="1" applyBorder="1" applyAlignment="1" applyProtection="1">
      <alignment horizontal="center" vertical="top" shrinkToFit="1"/>
    </xf>
    <xf numFmtId="176" fontId="21" fillId="0" borderId="24" xfId="0" applyNumberFormat="1" applyFont="1" applyFill="1" applyBorder="1" applyAlignment="1" applyProtection="1">
      <alignment horizontal="center" vertical="top" shrinkToFit="1"/>
    </xf>
    <xf numFmtId="176" fontId="21" fillId="0" borderId="22" xfId="0" applyNumberFormat="1" applyFont="1" applyFill="1" applyBorder="1" applyAlignment="1" applyProtection="1">
      <alignment horizontal="center" vertical="top" shrinkToFit="1"/>
    </xf>
    <xf numFmtId="0" fontId="15" fillId="0" borderId="49" xfId="0" applyNumberFormat="1" applyFont="1" applyFill="1" applyBorder="1" applyAlignment="1" applyProtection="1">
      <alignment vertical="center"/>
    </xf>
    <xf numFmtId="49" fontId="21" fillId="0" borderId="17" xfId="0" applyNumberFormat="1" applyFont="1" applyFill="1" applyBorder="1" applyAlignment="1" applyProtection="1">
      <alignment vertical="top" shrinkToFit="1"/>
    </xf>
    <xf numFmtId="49" fontId="21" fillId="0" borderId="30" xfId="0" applyNumberFormat="1" applyFont="1" applyFill="1" applyBorder="1" applyAlignment="1" applyProtection="1">
      <alignment vertical="top" shrinkToFit="1"/>
    </xf>
    <xf numFmtId="176" fontId="21" fillId="0" borderId="17" xfId="0" applyNumberFormat="1" applyFont="1" applyFill="1" applyBorder="1" applyAlignment="1" applyProtection="1">
      <alignment horizontal="center" vertical="top" shrinkToFit="1"/>
    </xf>
    <xf numFmtId="176" fontId="21" fillId="0" borderId="18" xfId="0" applyNumberFormat="1" applyFont="1" applyFill="1" applyBorder="1" applyAlignment="1" applyProtection="1">
      <alignment horizontal="center" vertical="top" shrinkToFit="1"/>
    </xf>
    <xf numFmtId="176" fontId="21" fillId="0" borderId="19" xfId="0" applyNumberFormat="1" applyFont="1" applyFill="1" applyBorder="1" applyAlignment="1" applyProtection="1">
      <alignment horizontal="center" vertical="top" shrinkToFit="1"/>
    </xf>
    <xf numFmtId="0" fontId="15" fillId="0" borderId="50" xfId="0" applyNumberFormat="1" applyFont="1" applyFill="1" applyBorder="1" applyAlignment="1" applyProtection="1">
      <alignment vertical="center"/>
    </xf>
    <xf numFmtId="0" fontId="15" fillId="0" borderId="0" xfId="0" applyFont="1" applyFill="1" applyAlignment="1" applyProtection="1"/>
    <xf numFmtId="49" fontId="15" fillId="0" borderId="0" xfId="0" applyNumberFormat="1" applyFont="1" applyFill="1" applyAlignment="1" applyProtection="1"/>
    <xf numFmtId="177" fontId="15" fillId="0" borderId="0" xfId="0" applyNumberFormat="1" applyFont="1" applyFill="1" applyAlignment="1" applyProtection="1"/>
    <xf numFmtId="0" fontId="15" fillId="0" borderId="0" xfId="0" applyNumberFormat="1" applyFont="1" applyFill="1" applyAlignment="1" applyProtection="1">
      <alignment horizontal="center" vertical="center"/>
    </xf>
    <xf numFmtId="0" fontId="15" fillId="0" borderId="0" xfId="0" applyNumberFormat="1" applyFont="1" applyFill="1" applyAlignment="1" applyProtection="1">
      <alignment vertical="center"/>
    </xf>
    <xf numFmtId="0" fontId="8" fillId="0" borderId="0" xfId="0" applyNumberFormat="1" applyFont="1" applyFill="1" applyAlignment="1" applyProtection="1"/>
    <xf numFmtId="0" fontId="9" fillId="0" borderId="0" xfId="0" applyFont="1" applyFill="1" applyAlignment="1" applyProtection="1"/>
    <xf numFmtId="49" fontId="9" fillId="0" borderId="0" xfId="0" applyNumberFormat="1" applyFont="1" applyFill="1" applyAlignment="1" applyProtection="1"/>
    <xf numFmtId="0" fontId="9" fillId="0" borderId="0" xfId="0" applyNumberFormat="1" applyFont="1" applyFill="1" applyAlignment="1" applyProtection="1"/>
    <xf numFmtId="177" fontId="9" fillId="0" borderId="0" xfId="0" applyNumberFormat="1" applyFont="1" applyFill="1" applyAlignment="1" applyProtection="1"/>
    <xf numFmtId="0" fontId="9" fillId="0" borderId="0" xfId="0" applyNumberFormat="1" applyFont="1" applyFill="1" applyAlignment="1" applyProtection="1">
      <alignment horizontal="center" vertical="center"/>
    </xf>
    <xf numFmtId="0" fontId="9" fillId="0" borderId="0" xfId="0" applyNumberFormat="1" applyFont="1" applyFill="1" applyAlignment="1" applyProtection="1">
      <alignment vertical="center"/>
    </xf>
    <xf numFmtId="0" fontId="15" fillId="0" borderId="5" xfId="0" applyNumberFormat="1" applyFont="1" applyFill="1" applyBorder="1" applyAlignment="1" applyProtection="1">
      <alignment vertical="top"/>
    </xf>
    <xf numFmtId="0" fontId="15" fillId="0" borderId="63" xfId="0" applyNumberFormat="1" applyFont="1" applyFill="1" applyBorder="1" applyAlignment="1" applyProtection="1">
      <alignment vertical="top"/>
    </xf>
    <xf numFmtId="0" fontId="15" fillId="0" borderId="5" xfId="0" applyNumberFormat="1" applyFont="1" applyFill="1" applyBorder="1" applyAlignment="1" applyProtection="1">
      <alignment vertical="top" wrapText="1"/>
    </xf>
    <xf numFmtId="0" fontId="21" fillId="6" borderId="5" xfId="0" applyNumberFormat="1" applyFont="1" applyFill="1" applyBorder="1" applyAlignment="1" applyProtection="1">
      <alignment vertical="top"/>
    </xf>
    <xf numFmtId="0" fontId="21" fillId="6" borderId="64" xfId="0" applyNumberFormat="1" applyFont="1" applyFill="1" applyBorder="1" applyAlignment="1" applyProtection="1">
      <alignment vertical="top"/>
    </xf>
    <xf numFmtId="0" fontId="21" fillId="6" borderId="28" xfId="0" applyNumberFormat="1" applyFont="1" applyFill="1" applyBorder="1" applyAlignment="1" applyProtection="1">
      <alignment vertical="top" wrapText="1"/>
    </xf>
    <xf numFmtId="0" fontId="21" fillId="0" borderId="23" xfId="0" applyNumberFormat="1" applyFont="1" applyFill="1" applyBorder="1" applyAlignment="1" applyProtection="1">
      <alignment vertical="top" wrapText="1"/>
    </xf>
    <xf numFmtId="0" fontId="21" fillId="0" borderId="17" xfId="0" applyNumberFormat="1" applyFont="1" applyFill="1" applyBorder="1" applyAlignment="1" applyProtection="1">
      <alignment vertical="top"/>
    </xf>
    <xf numFmtId="0" fontId="21" fillId="0" borderId="65" xfId="0" applyNumberFormat="1" applyFont="1" applyFill="1" applyBorder="1" applyAlignment="1" applyProtection="1">
      <alignment vertical="top"/>
    </xf>
    <xf numFmtId="0" fontId="21" fillId="0" borderId="45" xfId="0" applyNumberFormat="1" applyFont="1" applyFill="1" applyBorder="1" applyAlignment="1" applyProtection="1">
      <alignment vertical="top" wrapText="1"/>
    </xf>
    <xf numFmtId="0" fontId="21" fillId="0" borderId="17" xfId="0" applyNumberFormat="1" applyFont="1" applyFill="1" applyBorder="1" applyAlignment="1" applyProtection="1">
      <alignment vertical="top" wrapText="1"/>
    </xf>
    <xf numFmtId="0" fontId="15" fillId="0" borderId="5" xfId="0" applyNumberFormat="1" applyFont="1" applyFill="1" applyBorder="1" applyAlignment="1" applyProtection="1">
      <alignment horizontal="center" vertical="top" shrinkToFit="1"/>
    </xf>
    <xf numFmtId="0" fontId="21" fillId="0" borderId="23" xfId="0" applyNumberFormat="1" applyFont="1" applyFill="1" applyBorder="1" applyAlignment="1" applyProtection="1">
      <alignment horizontal="center" vertical="top" shrinkToFit="1"/>
    </xf>
    <xf numFmtId="0" fontId="21" fillId="0" borderId="17" xfId="0" applyNumberFormat="1" applyFont="1" applyFill="1" applyBorder="1" applyAlignment="1" applyProtection="1">
      <alignment horizontal="center" vertical="top" shrinkToFit="1"/>
    </xf>
    <xf numFmtId="0" fontId="21" fillId="0" borderId="18" xfId="0" applyNumberFormat="1" applyFont="1" applyFill="1" applyBorder="1" applyAlignment="1" applyProtection="1">
      <alignment horizontal="center" vertical="top" shrinkToFit="1"/>
    </xf>
    <xf numFmtId="0" fontId="15" fillId="0" borderId="5" xfId="0" applyNumberFormat="1" applyFont="1" applyFill="1" applyBorder="1" applyAlignment="1" applyProtection="1">
      <alignment horizontal="center" vertical="top"/>
    </xf>
    <xf numFmtId="0" fontId="21" fillId="0" borderId="23" xfId="0" applyNumberFormat="1" applyFont="1" applyFill="1" applyBorder="1" applyAlignment="1" applyProtection="1">
      <alignment horizontal="center" vertical="top"/>
    </xf>
    <xf numFmtId="0" fontId="21" fillId="0" borderId="17" xfId="0" applyNumberFormat="1" applyFont="1" applyFill="1" applyBorder="1" applyAlignment="1" applyProtection="1">
      <alignment horizontal="center" vertical="top"/>
    </xf>
    <xf numFmtId="0" fontId="15" fillId="0" borderId="33" xfId="0" applyNumberFormat="1" applyFont="1" applyFill="1" applyBorder="1" applyAlignment="1" applyProtection="1">
      <alignment vertical="center"/>
    </xf>
    <xf numFmtId="0" fontId="15" fillId="0" borderId="20" xfId="0" applyNumberFormat="1" applyFont="1" applyFill="1" applyBorder="1" applyAlignment="1" applyProtection="1">
      <alignment vertical="center"/>
    </xf>
    <xf numFmtId="0" fontId="15" fillId="0" borderId="34" xfId="0" applyNumberFormat="1" applyFont="1" applyFill="1" applyBorder="1" applyAlignment="1" applyProtection="1">
      <alignment vertical="center"/>
    </xf>
    <xf numFmtId="0" fontId="15" fillId="0" borderId="0" xfId="0" applyNumberFormat="1" applyFont="1" applyFill="1" applyBorder="1" applyAlignment="1" applyProtection="1">
      <alignment vertical="center"/>
    </xf>
    <xf numFmtId="0" fontId="15" fillId="0" borderId="35" xfId="0" applyNumberFormat="1" applyFont="1" applyFill="1" applyBorder="1" applyAlignment="1" applyProtection="1">
      <alignment vertical="center"/>
    </xf>
    <xf numFmtId="0" fontId="15" fillId="0" borderId="36" xfId="0" applyNumberFormat="1" applyFont="1" applyFill="1" applyBorder="1" applyAlignment="1" applyProtection="1">
      <alignment vertical="center"/>
    </xf>
    <xf numFmtId="0" fontId="15" fillId="0" borderId="37" xfId="0" applyNumberFormat="1" applyFont="1" applyFill="1" applyBorder="1" applyAlignment="1" applyProtection="1">
      <alignment vertical="center"/>
    </xf>
    <xf numFmtId="0" fontId="21" fillId="0" borderId="24" xfId="0" applyNumberFormat="1" applyFont="1" applyFill="1" applyBorder="1" applyAlignment="1" applyProtection="1">
      <alignment vertical="top" wrapText="1"/>
    </xf>
    <xf numFmtId="0" fontId="13" fillId="0" borderId="0" xfId="0" applyFont="1" applyFill="1" applyBorder="1" applyAlignment="1" applyProtection="1">
      <alignment vertical="center"/>
    </xf>
    <xf numFmtId="0" fontId="9" fillId="39" borderId="66" xfId="0" applyNumberFormat="1" applyFont="1" applyFill="1" applyBorder="1" applyAlignment="1" applyProtection="1">
      <alignment vertical="center"/>
    </xf>
    <xf numFmtId="0" fontId="9" fillId="39" borderId="67" xfId="0" applyNumberFormat="1" applyFont="1" applyFill="1" applyBorder="1" applyAlignment="1" applyProtection="1">
      <alignment vertical="center"/>
    </xf>
    <xf numFmtId="0" fontId="9" fillId="0" borderId="35" xfId="0" applyNumberFormat="1" applyFont="1" applyFill="1" applyBorder="1" applyAlignment="1" applyProtection="1">
      <alignment vertical="center"/>
    </xf>
    <xf numFmtId="0" fontId="9" fillId="0" borderId="37" xfId="0" applyNumberFormat="1" applyFont="1" applyFill="1" applyBorder="1" applyAlignment="1" applyProtection="1">
      <alignment vertical="center"/>
    </xf>
    <xf numFmtId="0" fontId="21" fillId="6" borderId="46" xfId="0" applyNumberFormat="1" applyFont="1" applyFill="1" applyBorder="1" applyAlignment="1" applyProtection="1">
      <alignment vertical="top" wrapText="1"/>
    </xf>
    <xf numFmtId="0" fontId="48" fillId="0" borderId="0" xfId="0" applyFont="1">
      <alignment vertical="center"/>
    </xf>
    <xf numFmtId="0" fontId="15" fillId="0" borderId="0" xfId="0" quotePrefix="1" applyFont="1">
      <alignment vertical="center"/>
    </xf>
    <xf numFmtId="0" fontId="15" fillId="0" borderId="0" xfId="0" quotePrefix="1" applyFont="1" applyAlignment="1">
      <alignment horizontal="left" vertical="center"/>
    </xf>
    <xf numFmtId="0" fontId="19" fillId="0" borderId="0" xfId="0" applyFont="1" applyAlignment="1">
      <alignment horizontal="left" vertical="center"/>
    </xf>
    <xf numFmtId="0" fontId="0" fillId="0" borderId="0" xfId="0" applyNumberFormat="1" applyFill="1" applyBorder="1" applyAlignment="1" applyProtection="1"/>
    <xf numFmtId="0" fontId="21" fillId="6" borderId="64" xfId="0" applyNumberFormat="1" applyFont="1" applyFill="1" applyBorder="1" applyAlignment="1" applyProtection="1">
      <alignment vertical="top" wrapText="1"/>
    </xf>
    <xf numFmtId="0" fontId="15" fillId="0" borderId="68" xfId="0" applyNumberFormat="1" applyFont="1" applyFill="1" applyBorder="1" applyAlignment="1" applyProtection="1">
      <alignment vertical="top"/>
    </xf>
    <xf numFmtId="0" fontId="21" fillId="6" borderId="46" xfId="0" applyNumberFormat="1" applyFont="1" applyFill="1" applyBorder="1" applyAlignment="1" applyProtection="1">
      <alignment vertical="top"/>
    </xf>
    <xf numFmtId="0" fontId="45" fillId="0" borderId="0" xfId="50" applyFont="1" applyAlignment="1">
      <alignment horizontal="left" vertical="center" indent="1"/>
    </xf>
    <xf numFmtId="0" fontId="10" fillId="0" borderId="0" xfId="0" applyNumberFormat="1" applyFont="1" applyFill="1" applyBorder="1" applyAlignment="1" applyProtection="1"/>
    <xf numFmtId="0" fontId="15" fillId="0" borderId="5" xfId="0" applyNumberFormat="1" applyFont="1" applyFill="1" applyBorder="1" applyAlignment="1" applyProtection="1">
      <alignment horizontal="center" vertical="center"/>
    </xf>
    <xf numFmtId="0" fontId="21" fillId="0" borderId="23" xfId="0" applyNumberFormat="1" applyFont="1" applyFill="1" applyBorder="1" applyAlignment="1" applyProtection="1">
      <alignment horizontal="center" vertical="center"/>
    </xf>
    <xf numFmtId="0" fontId="21" fillId="0" borderId="17" xfId="0" applyNumberFormat="1" applyFont="1" applyFill="1" applyBorder="1" applyAlignment="1" applyProtection="1">
      <alignment horizontal="center" vertical="center"/>
    </xf>
    <xf numFmtId="0" fontId="15" fillId="40" borderId="5" xfId="0" applyNumberFormat="1" applyFont="1" applyFill="1" applyBorder="1" applyAlignment="1" applyProtection="1">
      <alignment vertical="top" wrapText="1" shrinkToFit="1"/>
    </xf>
    <xf numFmtId="49" fontId="15" fillId="40" borderId="25" xfId="0" applyNumberFormat="1" applyFont="1" applyFill="1" applyBorder="1" applyAlignment="1" applyProtection="1">
      <alignment vertical="top"/>
    </xf>
    <xf numFmtId="49" fontId="21" fillId="40" borderId="23" xfId="0" applyNumberFormat="1" applyFont="1" applyFill="1" applyBorder="1" applyAlignment="1" applyProtection="1">
      <alignment vertical="top" wrapText="1" shrinkToFit="1"/>
    </xf>
    <xf numFmtId="49" fontId="21" fillId="40" borderId="27" xfId="0" applyNumberFormat="1" applyFont="1" applyFill="1" applyBorder="1" applyAlignment="1" applyProtection="1">
      <alignment vertical="top"/>
    </xf>
    <xf numFmtId="49" fontId="21" fillId="40" borderId="17" xfId="0" applyNumberFormat="1" applyFont="1" applyFill="1" applyBorder="1" applyAlignment="1" applyProtection="1">
      <alignment vertical="top" wrapText="1" shrinkToFit="1"/>
    </xf>
    <xf numFmtId="49" fontId="21" fillId="40" borderId="29" xfId="0" applyNumberFormat="1" applyFont="1" applyFill="1" applyBorder="1" applyAlignment="1" applyProtection="1">
      <alignment vertical="top"/>
    </xf>
    <xf numFmtId="0" fontId="15" fillId="40" borderId="5" xfId="0" applyNumberFormat="1" applyFont="1" applyFill="1" applyBorder="1" applyAlignment="1" applyProtection="1">
      <alignment vertical="top" shrinkToFit="1"/>
    </xf>
    <xf numFmtId="49" fontId="15" fillId="40" borderId="5" xfId="0" applyNumberFormat="1" applyFont="1" applyFill="1" applyBorder="1" applyAlignment="1" applyProtection="1">
      <alignment vertical="top" shrinkToFit="1"/>
    </xf>
    <xf numFmtId="0" fontId="21" fillId="40" borderId="23" xfId="0" applyNumberFormat="1" applyFont="1" applyFill="1" applyBorder="1" applyAlignment="1" applyProtection="1">
      <alignment vertical="top" shrinkToFit="1"/>
    </xf>
    <xf numFmtId="49" fontId="21" fillId="40" borderId="23" xfId="0" applyNumberFormat="1" applyFont="1" applyFill="1" applyBorder="1" applyAlignment="1" applyProtection="1">
      <alignment vertical="top" shrinkToFit="1"/>
    </xf>
    <xf numFmtId="0" fontId="21" fillId="40" borderId="17" xfId="0" applyNumberFormat="1" applyFont="1" applyFill="1" applyBorder="1" applyAlignment="1" applyProtection="1">
      <alignment vertical="top" shrinkToFit="1"/>
    </xf>
    <xf numFmtId="49" fontId="21" fillId="40" borderId="17" xfId="0" applyNumberFormat="1" applyFont="1" applyFill="1" applyBorder="1" applyAlignment="1" applyProtection="1">
      <alignment vertical="top" shrinkToFit="1"/>
    </xf>
    <xf numFmtId="0" fontId="15" fillId="40" borderId="5" xfId="0" applyNumberFormat="1" applyFont="1" applyFill="1" applyBorder="1" applyAlignment="1" applyProtection="1">
      <alignment horizontal="center" vertical="top" shrinkToFit="1"/>
    </xf>
    <xf numFmtId="176" fontId="15" fillId="40" borderId="5" xfId="0" applyNumberFormat="1" applyFont="1" applyFill="1" applyBorder="1" applyAlignment="1" applyProtection="1">
      <alignment horizontal="center" vertical="top" shrinkToFit="1"/>
    </xf>
    <xf numFmtId="0" fontId="21" fillId="40" borderId="23" xfId="0" applyNumberFormat="1" applyFont="1" applyFill="1" applyBorder="1" applyAlignment="1" applyProtection="1">
      <alignment horizontal="center" vertical="top" shrinkToFit="1"/>
    </xf>
    <xf numFmtId="176" fontId="21" fillId="40" borderId="23" xfId="0" applyNumberFormat="1" applyFont="1" applyFill="1" applyBorder="1" applyAlignment="1" applyProtection="1">
      <alignment horizontal="center" vertical="top" shrinkToFit="1"/>
    </xf>
    <xf numFmtId="0" fontId="21" fillId="40" borderId="17" xfId="0" applyNumberFormat="1" applyFont="1" applyFill="1" applyBorder="1" applyAlignment="1" applyProtection="1">
      <alignment horizontal="center" vertical="top" shrinkToFit="1"/>
    </xf>
    <xf numFmtId="176" fontId="21" fillId="40" borderId="17" xfId="0" applyNumberFormat="1" applyFont="1" applyFill="1" applyBorder="1" applyAlignment="1" applyProtection="1">
      <alignment horizontal="center" vertical="top" shrinkToFit="1"/>
    </xf>
    <xf numFmtId="14" fontId="13" fillId="0" borderId="20" xfId="0" applyNumberFormat="1" applyFont="1" applyBorder="1" applyAlignment="1">
      <alignment horizontal="center" vertical="center"/>
    </xf>
    <xf numFmtId="0" fontId="10" fillId="0" borderId="3" xfId="0" applyFont="1" applyBorder="1" applyAlignment="1">
      <alignment horizontal="center" vertical="center"/>
    </xf>
    <xf numFmtId="0" fontId="10" fillId="3" borderId="21" xfId="0" applyFont="1" applyFill="1" applyBorder="1">
      <alignment vertical="center"/>
    </xf>
    <xf numFmtId="0" fontId="13" fillId="0" borderId="20" xfId="0" applyFont="1" applyBorder="1">
      <alignment vertical="center"/>
    </xf>
    <xf numFmtId="0" fontId="10" fillId="41" borderId="2" xfId="0" applyFont="1" applyFill="1" applyBorder="1">
      <alignment vertical="center"/>
    </xf>
    <xf numFmtId="0" fontId="10" fillId="2" borderId="20" xfId="0" applyFont="1" applyFill="1" applyBorder="1">
      <alignment vertical="center"/>
    </xf>
    <xf numFmtId="0" fontId="10" fillId="0" borderId="20" xfId="0" applyFont="1" applyBorder="1" applyAlignment="1">
      <alignment horizontal="center" vertical="center"/>
    </xf>
    <xf numFmtId="0" fontId="10" fillId="3" borderId="20" xfId="0" applyFont="1" applyFill="1" applyBorder="1">
      <alignment vertical="center"/>
    </xf>
    <xf numFmtId="0" fontId="10" fillId="0" borderId="2" xfId="0" applyFont="1" applyBorder="1">
      <alignment vertical="center"/>
    </xf>
    <xf numFmtId="0" fontId="0" fillId="0" borderId="0" xfId="0" applyAlignment="1"/>
    <xf numFmtId="0" fontId="9" fillId="0" borderId="0" xfId="0" applyFont="1" applyAlignment="1"/>
    <xf numFmtId="0" fontId="13" fillId="0" borderId="0" xfId="0" applyFont="1" applyAlignment="1"/>
    <xf numFmtId="0" fontId="10" fillId="0" borderId="0" xfId="0" applyFont="1" applyAlignment="1"/>
    <xf numFmtId="0" fontId="11" fillId="0" borderId="0" xfId="0" applyFont="1" applyAlignment="1">
      <alignment horizontal="right"/>
    </xf>
    <xf numFmtId="0" fontId="9" fillId="0" borderId="0" xfId="0" applyFont="1">
      <alignment vertical="center"/>
    </xf>
    <xf numFmtId="0" fontId="8" fillId="0" borderId="0" xfId="0" applyFont="1" applyAlignment="1"/>
    <xf numFmtId="49" fontId="15" fillId="0" borderId="0" xfId="0" applyNumberFormat="1" applyFont="1" applyAlignment="1"/>
    <xf numFmtId="0" fontId="12" fillId="4" borderId="31" xfId="0" applyFont="1" applyFill="1" applyBorder="1" applyAlignment="1"/>
    <xf numFmtId="0" fontId="15" fillId="4" borderId="0" xfId="0" applyFont="1" applyFill="1" applyAlignment="1"/>
    <xf numFmtId="0" fontId="9" fillId="4" borderId="0" xfId="0" applyFont="1" applyFill="1" applyAlignment="1"/>
    <xf numFmtId="0" fontId="12" fillId="4" borderId="6" xfId="0" applyFont="1" applyFill="1" applyBorder="1" applyAlignment="1"/>
    <xf numFmtId="0" fontId="9" fillId="0" borderId="0" xfId="0" applyFont="1" applyAlignment="1">
      <alignment horizontal="center" vertical="center"/>
    </xf>
    <xf numFmtId="0" fontId="9" fillId="39" borderId="66" xfId="0" applyFont="1" applyFill="1" applyBorder="1">
      <alignment vertical="center"/>
    </xf>
    <xf numFmtId="0" fontId="9" fillId="39" borderId="67" xfId="0" applyFont="1" applyFill="1" applyBorder="1">
      <alignment vertical="center"/>
    </xf>
    <xf numFmtId="49" fontId="15" fillId="4" borderId="0" xfId="0" applyNumberFormat="1" applyFont="1" applyFill="1" applyAlignment="1"/>
    <xf numFmtId="0" fontId="9" fillId="0" borderId="35" xfId="0" applyFont="1" applyBorder="1">
      <alignment vertical="center"/>
    </xf>
    <xf numFmtId="0" fontId="9" fillId="0" borderId="37" xfId="0" applyFont="1" applyBorder="1">
      <alignment vertical="center"/>
    </xf>
    <xf numFmtId="0" fontId="9" fillId="0" borderId="16" xfId="0" applyFont="1" applyBorder="1" applyAlignment="1"/>
    <xf numFmtId="0" fontId="13" fillId="0" borderId="0" xfId="0" applyFont="1" applyAlignment="1">
      <alignment horizontal="center" vertical="center" shrinkToFit="1"/>
    </xf>
    <xf numFmtId="0" fontId="15" fillId="5" borderId="5" xfId="0" applyFont="1" applyFill="1" applyBorder="1" applyAlignment="1">
      <alignment horizontal="center" vertical="center" shrinkToFit="1"/>
    </xf>
    <xf numFmtId="0" fontId="15" fillId="5" borderId="4" xfId="0" applyFont="1" applyFill="1" applyBorder="1" applyAlignment="1">
      <alignment horizontal="center" vertical="center" shrinkToFit="1"/>
    </xf>
    <xf numFmtId="0" fontId="9" fillId="0" borderId="35" xfId="0" applyFont="1" applyBorder="1" applyAlignment="1">
      <alignment horizontal="center" vertical="center" shrinkToFit="1"/>
    </xf>
    <xf numFmtId="0" fontId="23" fillId="0" borderId="36" xfId="0" applyFont="1" applyBorder="1" applyAlignment="1">
      <alignment horizontal="center" vertical="center"/>
    </xf>
    <xf numFmtId="0" fontId="23" fillId="0" borderId="37" xfId="0" applyFont="1" applyBorder="1" applyAlignment="1">
      <alignment horizontal="center" vertical="center"/>
    </xf>
    <xf numFmtId="0" fontId="9" fillId="0" borderId="47" xfId="0" applyFont="1" applyBorder="1">
      <alignment vertical="center"/>
    </xf>
    <xf numFmtId="0" fontId="15" fillId="5" borderId="17" xfId="0" applyFont="1" applyFill="1" applyBorder="1" applyAlignment="1">
      <alignment shrinkToFit="1"/>
    </xf>
    <xf numFmtId="49" fontId="15" fillId="5" borderId="15" xfId="0" applyNumberFormat="1" applyFont="1" applyFill="1" applyBorder="1" applyAlignment="1"/>
    <xf numFmtId="0" fontId="9" fillId="0" borderId="12" xfId="0" applyFont="1" applyBorder="1" applyAlignment="1"/>
    <xf numFmtId="0" fontId="9" fillId="0" borderId="32" xfId="0" applyFont="1" applyBorder="1" applyAlignment="1"/>
    <xf numFmtId="0" fontId="9" fillId="0" borderId="48" xfId="0" applyFont="1" applyBorder="1">
      <alignment vertical="center"/>
    </xf>
    <xf numFmtId="0" fontId="16" fillId="0" borderId="0" xfId="0" applyFont="1" applyAlignment="1"/>
    <xf numFmtId="49" fontId="15" fillId="40" borderId="25" xfId="0" applyNumberFormat="1" applyFont="1" applyFill="1" applyBorder="1" applyAlignment="1">
      <alignment vertical="top"/>
    </xf>
    <xf numFmtId="0" fontId="15" fillId="0" borderId="33" xfId="0" applyFont="1" applyBorder="1">
      <alignment vertical="center"/>
    </xf>
    <xf numFmtId="0" fontId="15" fillId="0" borderId="20" xfId="0" applyFont="1" applyBorder="1">
      <alignment vertical="center"/>
    </xf>
    <xf numFmtId="0" fontId="15" fillId="0" borderId="34" xfId="0" applyFont="1" applyBorder="1">
      <alignment vertical="center"/>
    </xf>
    <xf numFmtId="0" fontId="15" fillId="0" borderId="51" xfId="0" applyFont="1" applyBorder="1">
      <alignment vertical="center"/>
    </xf>
    <xf numFmtId="0" fontId="15" fillId="0" borderId="0" xfId="0" applyFont="1" applyAlignment="1"/>
    <xf numFmtId="49" fontId="21" fillId="40" borderId="23" xfId="0" applyNumberFormat="1" applyFont="1" applyFill="1" applyBorder="1" applyAlignment="1">
      <alignment vertical="top" wrapText="1" shrinkToFit="1"/>
    </xf>
    <xf numFmtId="49" fontId="21" fillId="40" borderId="27" xfId="0" applyNumberFormat="1" applyFont="1" applyFill="1" applyBorder="1" applyAlignment="1">
      <alignment vertical="top"/>
    </xf>
    <xf numFmtId="0" fontId="21" fillId="0" borderId="23" xfId="0" applyFont="1" applyBorder="1" applyAlignment="1">
      <alignment vertical="top" wrapText="1"/>
    </xf>
    <xf numFmtId="0" fontId="15" fillId="0" borderId="49" xfId="0" applyFont="1" applyBorder="1">
      <alignment vertical="center"/>
    </xf>
    <xf numFmtId="49" fontId="21" fillId="40" borderId="17" xfId="0" applyNumberFormat="1" applyFont="1" applyFill="1" applyBorder="1" applyAlignment="1">
      <alignment vertical="top" wrapText="1" shrinkToFit="1"/>
    </xf>
    <xf numFmtId="49" fontId="21" fillId="40" borderId="29" xfId="0" applyNumberFormat="1" applyFont="1" applyFill="1" applyBorder="1" applyAlignment="1">
      <alignment vertical="top"/>
    </xf>
    <xf numFmtId="0" fontId="15" fillId="0" borderId="35" xfId="0" applyFont="1" applyBorder="1">
      <alignment vertical="center"/>
    </xf>
    <xf numFmtId="0" fontId="15" fillId="0" borderId="36" xfId="0" applyFont="1" applyBorder="1">
      <alignment vertical="center"/>
    </xf>
    <xf numFmtId="0" fontId="15" fillId="0" borderId="37" xfId="0" applyFont="1" applyBorder="1">
      <alignment vertical="center"/>
    </xf>
    <xf numFmtId="0" fontId="15" fillId="0" borderId="50" xfId="0" applyFont="1" applyBorder="1">
      <alignment vertical="center"/>
    </xf>
    <xf numFmtId="177" fontId="15" fillId="0" borderId="0" xfId="0" applyNumberFormat="1" applyFont="1" applyAlignment="1"/>
    <xf numFmtId="0" fontId="15" fillId="0" borderId="0" xfId="0" applyFont="1" applyAlignment="1">
      <alignment horizontal="center" vertical="center"/>
    </xf>
    <xf numFmtId="177" fontId="9" fillId="0" borderId="0" xfId="0" applyNumberFormat="1" applyFont="1" applyAlignment="1"/>
    <xf numFmtId="0" fontId="13" fillId="5" borderId="9" xfId="0" applyFont="1" applyFill="1" applyBorder="1" applyAlignment="1">
      <alignment horizontal="center" vertical="center" wrapText="1"/>
    </xf>
    <xf numFmtId="0" fontId="13" fillId="5" borderId="5" xfId="0" applyFont="1" applyFill="1" applyBorder="1" applyAlignment="1">
      <alignment horizontal="center" vertical="center" wrapText="1"/>
    </xf>
    <xf numFmtId="0" fontId="15" fillId="0" borderId="13" xfId="0" applyFont="1" applyBorder="1" applyAlignment="1">
      <alignment horizontal="left" vertical="top" wrapText="1"/>
    </xf>
    <xf numFmtId="0" fontId="13" fillId="5" borderId="7" xfId="0" applyFont="1" applyFill="1" applyBorder="1" applyAlignment="1">
      <alignment horizontal="center" vertical="center" shrinkToFit="1"/>
    </xf>
    <xf numFmtId="0" fontId="13" fillId="5" borderId="8" xfId="0" applyFont="1" applyFill="1" applyBorder="1" applyAlignment="1">
      <alignment horizontal="center" vertical="center" shrinkToFit="1"/>
    </xf>
    <xf numFmtId="0" fontId="13" fillId="5" borderId="38" xfId="0" applyFont="1" applyFill="1" applyBorder="1" applyAlignment="1">
      <alignment horizontal="center" vertical="center" shrinkToFit="1"/>
    </xf>
    <xf numFmtId="0" fontId="15" fillId="0" borderId="10" xfId="0" applyFont="1" applyBorder="1" applyAlignment="1">
      <alignment horizontal="left" vertical="top" wrapText="1"/>
    </xf>
    <xf numFmtId="0" fontId="13" fillId="5" borderId="9" xfId="0" applyFont="1" applyFill="1" applyBorder="1" applyAlignment="1">
      <alignment horizontal="center" vertical="center" shrinkToFit="1"/>
    </xf>
    <xf numFmtId="0" fontId="14" fillId="5" borderId="10" xfId="0" applyFont="1" applyFill="1" applyBorder="1" applyAlignment="1">
      <alignment horizontal="center" vertical="center" wrapText="1" shrinkToFit="1"/>
    </xf>
    <xf numFmtId="0" fontId="14" fillId="5" borderId="13" xfId="0" applyFont="1" applyFill="1" applyBorder="1" applyAlignment="1">
      <alignment horizontal="center" vertical="center" shrinkToFit="1"/>
    </xf>
    <xf numFmtId="0" fontId="13" fillId="5" borderId="10" xfId="0" applyFont="1" applyFill="1" applyBorder="1" applyAlignment="1">
      <alignment horizontal="center" vertical="center" shrinkToFit="1"/>
    </xf>
    <xf numFmtId="0" fontId="13" fillId="5" borderId="13" xfId="0" applyFont="1" applyFill="1" applyBorder="1" applyAlignment="1">
      <alignment horizontal="center" vertical="center" shrinkToFit="1"/>
    </xf>
    <xf numFmtId="0" fontId="13" fillId="5" borderId="10" xfId="0" applyFont="1" applyFill="1" applyBorder="1" applyAlignment="1">
      <alignment horizontal="center" vertical="center"/>
    </xf>
    <xf numFmtId="0" fontId="13" fillId="5" borderId="13" xfId="0" applyFont="1" applyFill="1" applyBorder="1" applyAlignment="1">
      <alignment horizontal="center" vertical="center"/>
    </xf>
    <xf numFmtId="0" fontId="13" fillId="5" borderId="11" xfId="0" applyFont="1" applyFill="1" applyBorder="1" applyAlignment="1">
      <alignment horizontal="center" vertical="center"/>
    </xf>
    <xf numFmtId="0" fontId="13" fillId="5" borderId="14" xfId="0" applyFont="1" applyFill="1" applyBorder="1" applyAlignment="1">
      <alignment horizontal="center" vertical="center"/>
    </xf>
    <xf numFmtId="0" fontId="13" fillId="5" borderId="9" xfId="0" applyFont="1" applyFill="1" applyBorder="1" applyAlignment="1">
      <alignment horizontal="center" vertical="center" wrapText="1"/>
    </xf>
    <xf numFmtId="0" fontId="13" fillId="5" borderId="5" xfId="0" applyFont="1" applyFill="1" applyBorder="1" applyAlignment="1">
      <alignment horizontal="center" vertical="center" wrapText="1"/>
    </xf>
    <xf numFmtId="0" fontId="14" fillId="5" borderId="9"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0" fillId="0" borderId="0" xfId="0" applyFont="1" applyAlignment="1"/>
    <xf numFmtId="0" fontId="13" fillId="5" borderId="11" xfId="0" applyFont="1" applyFill="1" applyBorder="1" applyAlignment="1">
      <alignment horizontal="center" vertical="center" shrinkToFit="1"/>
    </xf>
    <xf numFmtId="0" fontId="13" fillId="5" borderId="14" xfId="0" applyFont="1" applyFill="1" applyBorder="1" applyAlignment="1">
      <alignment horizontal="center" vertical="center" shrinkToFit="1"/>
    </xf>
    <xf numFmtId="49" fontId="24" fillId="5" borderId="7" xfId="0" applyNumberFormat="1" applyFont="1" applyFill="1" applyBorder="1" applyAlignment="1">
      <alignment horizontal="left" vertical="center" wrapText="1"/>
    </xf>
    <xf numFmtId="49" fontId="24" fillId="5" borderId="8" xfId="0" applyNumberFormat="1" applyFont="1" applyFill="1" applyBorder="1" applyAlignment="1">
      <alignment horizontal="left" vertical="center"/>
    </xf>
    <xf numFmtId="49" fontId="24" fillId="5" borderId="12" xfId="0" applyNumberFormat="1" applyFont="1" applyFill="1" applyBorder="1" applyAlignment="1">
      <alignment horizontal="left" vertical="center"/>
    </xf>
    <xf numFmtId="49" fontId="24" fillId="5" borderId="0" xfId="0" applyNumberFormat="1" applyFont="1" applyFill="1" applyAlignment="1">
      <alignment horizontal="left" vertical="center"/>
    </xf>
    <xf numFmtId="0" fontId="13" fillId="5" borderId="9" xfId="0" applyFont="1" applyFill="1" applyBorder="1" applyAlignment="1">
      <alignment horizontal="center" vertical="center"/>
    </xf>
    <xf numFmtId="0" fontId="13" fillId="5" borderId="8" xfId="0" applyFont="1" applyFill="1" applyBorder="1" applyAlignment="1">
      <alignment horizontal="center" vertical="center"/>
    </xf>
    <xf numFmtId="0" fontId="13" fillId="5" borderId="5" xfId="0" applyFont="1" applyFill="1" applyBorder="1" applyAlignment="1">
      <alignment horizontal="center" vertical="center"/>
    </xf>
    <xf numFmtId="0" fontId="13"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7" xfId="0" applyFont="1" applyFill="1" applyBorder="1" applyAlignment="1" applyProtection="1">
      <alignment horizontal="center" vertical="center" shrinkToFit="1"/>
    </xf>
    <xf numFmtId="0" fontId="13" fillId="5" borderId="8" xfId="0" applyFont="1" applyFill="1" applyBorder="1" applyAlignment="1" applyProtection="1">
      <alignment horizontal="center" vertical="center" shrinkToFit="1"/>
    </xf>
    <xf numFmtId="0" fontId="13" fillId="5" borderId="38" xfId="0" applyFont="1" applyFill="1" applyBorder="1" applyAlignment="1" applyProtection="1">
      <alignment horizontal="center" vertical="center" shrinkToFit="1"/>
    </xf>
    <xf numFmtId="0" fontId="13" fillId="5" borderId="9" xfId="0" applyFont="1" applyFill="1" applyBorder="1" applyAlignment="1" applyProtection="1">
      <alignment horizontal="center" vertical="center" shrinkToFit="1"/>
    </xf>
    <xf numFmtId="0" fontId="14" fillId="5" borderId="10" xfId="0" applyFont="1" applyFill="1" applyBorder="1" applyAlignment="1" applyProtection="1">
      <alignment horizontal="center" vertical="center" wrapText="1" shrinkToFit="1"/>
    </xf>
    <xf numFmtId="0" fontId="14" fillId="5" borderId="13" xfId="0" applyFont="1" applyFill="1" applyBorder="1" applyAlignment="1" applyProtection="1">
      <alignment horizontal="center" vertical="center" shrinkToFit="1"/>
    </xf>
    <xf numFmtId="0" fontId="13" fillId="5" borderId="10" xfId="0" applyFont="1" applyFill="1" applyBorder="1" applyAlignment="1" applyProtection="1">
      <alignment horizontal="center" vertical="center" shrinkToFit="1"/>
    </xf>
    <xf numFmtId="0" fontId="13" fillId="5" borderId="13" xfId="0" applyFont="1" applyFill="1" applyBorder="1" applyAlignment="1" applyProtection="1">
      <alignment horizontal="center" vertical="center" shrinkToFit="1"/>
    </xf>
    <xf numFmtId="0" fontId="13" fillId="5" borderId="10" xfId="0" applyNumberFormat="1" applyFont="1" applyFill="1" applyBorder="1" applyAlignment="1" applyProtection="1">
      <alignment horizontal="center" vertical="center"/>
    </xf>
    <xf numFmtId="0" fontId="13" fillId="5" borderId="13" xfId="0" applyNumberFormat="1" applyFont="1" applyFill="1" applyBorder="1" applyAlignment="1" applyProtection="1">
      <alignment horizontal="center" vertical="center"/>
    </xf>
    <xf numFmtId="0" fontId="13" fillId="5" borderId="11" xfId="0" applyNumberFormat="1" applyFont="1" applyFill="1" applyBorder="1" applyAlignment="1" applyProtection="1">
      <alignment horizontal="center" vertical="center"/>
    </xf>
    <xf numFmtId="0" fontId="13" fillId="5" borderId="14" xfId="0" applyNumberFormat="1" applyFont="1" applyFill="1" applyBorder="1" applyAlignment="1" applyProtection="1">
      <alignment horizontal="center" vertical="center"/>
    </xf>
    <xf numFmtId="0" fontId="10" fillId="0" borderId="0" xfId="0" applyNumberFormat="1" applyFont="1" applyFill="1" applyBorder="1" applyAlignment="1" applyProtection="1"/>
    <xf numFmtId="0" fontId="13" fillId="5" borderId="11" xfId="0" applyFont="1" applyFill="1" applyBorder="1" applyAlignment="1" applyProtection="1">
      <alignment horizontal="center" vertical="center" shrinkToFit="1"/>
    </xf>
    <xf numFmtId="0" fontId="13" fillId="5" borderId="14" xfId="0" applyFont="1" applyFill="1" applyBorder="1" applyAlignment="1" applyProtection="1">
      <alignment horizontal="center" vertical="center" shrinkToFit="1"/>
    </xf>
    <xf numFmtId="49" fontId="24" fillId="5" borderId="7" xfId="0" applyNumberFormat="1" applyFont="1" applyFill="1" applyBorder="1" applyAlignment="1" applyProtection="1">
      <alignment horizontal="left" vertical="center" wrapText="1"/>
    </xf>
    <xf numFmtId="49" fontId="24" fillId="5" borderId="8" xfId="0" applyNumberFormat="1" applyFont="1" applyFill="1" applyBorder="1" applyAlignment="1" applyProtection="1">
      <alignment horizontal="left" vertical="center"/>
    </xf>
    <xf numFmtId="49" fontId="24" fillId="5" borderId="12" xfId="0" applyNumberFormat="1" applyFont="1" applyFill="1" applyBorder="1" applyAlignment="1" applyProtection="1">
      <alignment horizontal="left" vertical="center"/>
    </xf>
    <xf numFmtId="49" fontId="24" fillId="5" borderId="0" xfId="0" applyNumberFormat="1" applyFont="1" applyFill="1" applyBorder="1" applyAlignment="1" applyProtection="1">
      <alignment horizontal="left" vertical="center"/>
    </xf>
    <xf numFmtId="0" fontId="13" fillId="5" borderId="9" xfId="0" applyNumberFormat="1" applyFont="1" applyFill="1" applyBorder="1" applyAlignment="1" applyProtection="1">
      <alignment horizontal="center" vertical="center"/>
    </xf>
    <xf numFmtId="0" fontId="13" fillId="5" borderId="8" xfId="0" applyNumberFormat="1" applyFont="1" applyFill="1" applyBorder="1" applyAlignment="1" applyProtection="1">
      <alignment horizontal="center" vertical="center"/>
    </xf>
    <xf numFmtId="0" fontId="13" fillId="5" borderId="5" xfId="0" applyNumberFormat="1" applyFont="1" applyFill="1" applyBorder="1" applyAlignment="1" applyProtection="1">
      <alignment horizontal="center" vertical="center"/>
    </xf>
    <xf numFmtId="0" fontId="13" fillId="5" borderId="0" xfId="0" applyNumberFormat="1" applyFont="1" applyFill="1" applyBorder="1" applyAlignment="1" applyProtection="1">
      <alignment horizontal="center" vertical="center"/>
    </xf>
    <xf numFmtId="0" fontId="13" fillId="5" borderId="10" xfId="0" applyNumberFormat="1" applyFont="1" applyFill="1" applyBorder="1" applyAlignment="1" applyProtection="1">
      <alignment horizontal="center" vertical="center" wrapText="1"/>
    </xf>
    <xf numFmtId="0" fontId="13" fillId="5" borderId="13" xfId="0" applyNumberFormat="1" applyFont="1" applyFill="1" applyBorder="1" applyAlignment="1" applyProtection="1">
      <alignment horizontal="center" vertical="center" wrapText="1"/>
    </xf>
    <xf numFmtId="0" fontId="13" fillId="5" borderId="9" xfId="0" applyNumberFormat="1" applyFont="1" applyFill="1" applyBorder="1" applyAlignment="1" applyProtection="1">
      <alignment horizontal="center" vertical="center" wrapText="1"/>
    </xf>
    <xf numFmtId="0" fontId="13" fillId="5" borderId="5" xfId="0" applyNumberFormat="1" applyFont="1" applyFill="1" applyBorder="1" applyAlignment="1" applyProtection="1">
      <alignment horizontal="center" vertical="center" wrapText="1"/>
    </xf>
    <xf numFmtId="0" fontId="14" fillId="5" borderId="9" xfId="0" applyNumberFormat="1" applyFont="1" applyFill="1" applyBorder="1" applyAlignment="1" applyProtection="1">
      <alignment horizontal="center" vertical="center" wrapText="1"/>
    </xf>
    <xf numFmtId="0" fontId="14" fillId="5" borderId="5" xfId="0" applyNumberFormat="1" applyFont="1" applyFill="1" applyBorder="1" applyAlignment="1" applyProtection="1">
      <alignment horizontal="center" vertical="center" wrapText="1"/>
    </xf>
    <xf numFmtId="0" fontId="22" fillId="0" borderId="41" xfId="0" applyFont="1" applyBorder="1" applyAlignment="1">
      <alignment horizontal="center" wrapText="1"/>
    </xf>
    <xf numFmtId="0" fontId="22" fillId="0" borderId="42" xfId="0" applyFont="1" applyBorder="1" applyAlignment="1">
      <alignment horizontal="center"/>
    </xf>
    <xf numFmtId="0" fontId="22" fillId="0" borderId="43" xfId="0" applyFont="1" applyBorder="1" applyAlignment="1">
      <alignment horizontal="center"/>
    </xf>
    <xf numFmtId="0" fontId="22" fillId="0" borderId="44" xfId="0" applyFont="1" applyBorder="1" applyAlignment="1">
      <alignment horizontal="center"/>
    </xf>
    <xf numFmtId="0" fontId="13" fillId="0" borderId="1" xfId="0" applyFont="1" applyBorder="1" applyAlignment="1">
      <alignment horizontal="left"/>
    </xf>
    <xf numFmtId="0" fontId="13" fillId="0" borderId="2" xfId="0" applyFont="1" applyBorder="1" applyAlignment="1">
      <alignment horizontal="left"/>
    </xf>
    <xf numFmtId="0" fontId="13" fillId="0" borderId="3" xfId="0" applyFont="1" applyBorder="1" applyAlignment="1">
      <alignment horizontal="left"/>
    </xf>
    <xf numFmtId="0" fontId="15" fillId="5" borderId="5" xfId="0" applyFont="1" applyFill="1" applyBorder="1" applyAlignment="1">
      <alignment shrinkToFit="1"/>
    </xf>
    <xf numFmtId="0" fontId="15" fillId="5" borderId="5" xfId="0" applyFont="1" applyFill="1" applyBorder="1" applyAlignment="1"/>
    <xf numFmtId="0" fontId="15" fillId="5" borderId="0" xfId="0" applyFont="1" applyFill="1" applyBorder="1" applyAlignment="1"/>
    <xf numFmtId="0" fontId="15" fillId="5" borderId="13" xfId="0" applyFont="1" applyFill="1" applyBorder="1" applyAlignment="1">
      <alignment wrapText="1"/>
    </xf>
    <xf numFmtId="0" fontId="15" fillId="5" borderId="5" xfId="0" applyFont="1" applyFill="1" applyBorder="1" applyAlignment="1">
      <alignment wrapText="1"/>
    </xf>
    <xf numFmtId="176" fontId="15" fillId="5" borderId="5" xfId="0" applyNumberFormat="1" applyFont="1" applyFill="1" applyBorder="1" applyAlignment="1">
      <alignment shrinkToFit="1"/>
    </xf>
    <xf numFmtId="0" fontId="15" fillId="5" borderId="5" xfId="0" applyFont="1" applyFill="1" applyBorder="1" applyAlignment="1">
      <alignment horizontal="center" shrinkToFit="1"/>
    </xf>
    <xf numFmtId="0" fontId="15" fillId="5" borderId="13" xfId="0" applyFont="1" applyFill="1" applyBorder="1" applyAlignment="1"/>
    <xf numFmtId="0" fontId="15" fillId="5" borderId="14" xfId="0" applyFont="1" applyFill="1" applyBorder="1" applyAlignment="1"/>
    <xf numFmtId="49" fontId="15" fillId="40" borderId="69" xfId="0" applyNumberFormat="1" applyFont="1" applyFill="1" applyBorder="1" applyAlignment="1">
      <alignment vertical="top"/>
    </xf>
    <xf numFmtId="0" fontId="10" fillId="0" borderId="0" xfId="0" applyFont="1" applyAlignment="1">
      <alignment wrapText="1"/>
    </xf>
    <xf numFmtId="0" fontId="9" fillId="0" borderId="0" xfId="0" applyFont="1" applyAlignment="1">
      <alignment wrapText="1"/>
    </xf>
    <xf numFmtId="0" fontId="12" fillId="4" borderId="6" xfId="0" applyFont="1" applyFill="1" applyBorder="1" applyAlignment="1">
      <alignment wrapText="1"/>
    </xf>
    <xf numFmtId="0" fontId="15" fillId="0" borderId="0" xfId="0" applyFont="1" applyAlignment="1">
      <alignment wrapText="1"/>
    </xf>
    <xf numFmtId="176" fontId="15" fillId="5" borderId="13" xfId="0" applyNumberFormat="1" applyFont="1" applyFill="1" applyBorder="1" applyAlignment="1">
      <alignment shrinkToFit="1"/>
    </xf>
    <xf numFmtId="0" fontId="15" fillId="5" borderId="13" xfId="0" applyFont="1" applyFill="1" applyBorder="1" applyAlignment="1">
      <alignment shrinkToFit="1"/>
    </xf>
    <xf numFmtId="0" fontId="21" fillId="0" borderId="72" xfId="0" applyFont="1" applyBorder="1" applyAlignment="1">
      <alignment vertical="top" wrapText="1"/>
    </xf>
    <xf numFmtId="0" fontId="15" fillId="0" borderId="72" xfId="0" applyFont="1" applyBorder="1" applyAlignment="1">
      <alignment vertical="top" wrapText="1"/>
    </xf>
    <xf numFmtId="0" fontId="15" fillId="0" borderId="72" xfId="0" applyFont="1" applyBorder="1" applyAlignment="1">
      <alignment horizontal="left" vertical="top" wrapText="1"/>
    </xf>
    <xf numFmtId="0" fontId="21" fillId="0" borderId="72" xfId="0" applyFont="1" applyBorder="1" applyAlignment="1">
      <alignment horizontal="left" vertical="top" wrapText="1"/>
    </xf>
    <xf numFmtId="0" fontId="15" fillId="40" borderId="72" xfId="0" applyFont="1" applyFill="1" applyBorder="1" applyAlignment="1">
      <alignment vertical="top" shrinkToFit="1"/>
    </xf>
    <xf numFmtId="49" fontId="15" fillId="40" borderId="72" xfId="0" applyNumberFormat="1" applyFont="1" applyFill="1" applyBorder="1" applyAlignment="1">
      <alignment vertical="top" shrinkToFit="1"/>
    </xf>
    <xf numFmtId="0" fontId="15" fillId="0" borderId="72" xfId="0" applyFont="1" applyBorder="1" applyAlignment="1">
      <alignment horizontal="center" vertical="center"/>
    </xf>
    <xf numFmtId="0" fontId="21" fillId="0" borderId="72" xfId="0" applyFont="1" applyBorder="1" applyAlignment="1">
      <alignment horizontal="center" vertical="top" shrinkToFit="1"/>
    </xf>
    <xf numFmtId="176" fontId="21" fillId="0" borderId="72" xfId="0" applyNumberFormat="1" applyFont="1" applyBorder="1" applyAlignment="1">
      <alignment horizontal="center" vertical="top" shrinkToFit="1"/>
    </xf>
    <xf numFmtId="0" fontId="15" fillId="0" borderId="72" xfId="0" applyFont="1" applyBorder="1" applyAlignment="1">
      <alignment horizontal="center" vertical="top" shrinkToFit="1"/>
    </xf>
    <xf numFmtId="176" fontId="15" fillId="0" borderId="72" xfId="0" applyNumberFormat="1" applyFont="1" applyBorder="1" applyAlignment="1">
      <alignment horizontal="center" vertical="top" shrinkToFit="1"/>
    </xf>
    <xf numFmtId="0" fontId="15" fillId="40" borderId="72" xfId="0" applyFont="1" applyFill="1" applyBorder="1" applyAlignment="1">
      <alignment horizontal="center" vertical="top" shrinkToFit="1"/>
    </xf>
    <xf numFmtId="176" fontId="15" fillId="40" borderId="72" xfId="0" applyNumberFormat="1" applyFont="1" applyFill="1" applyBorder="1" applyAlignment="1">
      <alignment horizontal="center" vertical="top" shrinkToFit="1"/>
    </xf>
    <xf numFmtId="0" fontId="15" fillId="0" borderId="72" xfId="0" applyFont="1" applyBorder="1" applyAlignment="1">
      <alignment horizontal="center" vertical="top"/>
    </xf>
    <xf numFmtId="49" fontId="15" fillId="0" borderId="72" xfId="0" applyNumberFormat="1" applyFont="1" applyBorder="1" applyAlignment="1">
      <alignment vertical="top" shrinkToFit="1"/>
    </xf>
    <xf numFmtId="0" fontId="21" fillId="6" borderId="72" xfId="0" applyFont="1" applyFill="1" applyBorder="1" applyAlignment="1">
      <alignment vertical="top"/>
    </xf>
    <xf numFmtId="0" fontId="21" fillId="40" borderId="72" xfId="0" applyFont="1" applyFill="1" applyBorder="1" applyAlignment="1">
      <alignment vertical="top" shrinkToFit="1"/>
    </xf>
    <xf numFmtId="49" fontId="21" fillId="40" borderId="72" xfId="0" applyNumberFormat="1" applyFont="1" applyFill="1" applyBorder="1" applyAlignment="1">
      <alignment vertical="top" shrinkToFit="1"/>
    </xf>
    <xf numFmtId="0" fontId="21" fillId="0" borderId="72" xfId="0" applyFont="1" applyBorder="1" applyAlignment="1">
      <alignment horizontal="center" vertical="center"/>
    </xf>
    <xf numFmtId="0" fontId="21" fillId="40" borderId="72" xfId="0" applyFont="1" applyFill="1" applyBorder="1" applyAlignment="1">
      <alignment horizontal="center" vertical="top" shrinkToFit="1"/>
    </xf>
    <xf numFmtId="176" fontId="21" fillId="40" borderId="72" xfId="0" applyNumberFormat="1" applyFont="1" applyFill="1" applyBorder="1" applyAlignment="1">
      <alignment horizontal="center" vertical="top" shrinkToFit="1"/>
    </xf>
    <xf numFmtId="0" fontId="21" fillId="0" borderId="72" xfId="0" applyFont="1" applyBorder="1" applyAlignment="1">
      <alignment horizontal="center" vertical="top"/>
    </xf>
    <xf numFmtId="49" fontId="21" fillId="0" borderId="72" xfId="0" applyNumberFormat="1" applyFont="1" applyBorder="1" applyAlignment="1">
      <alignment vertical="top" shrinkToFit="1"/>
    </xf>
    <xf numFmtId="0" fontId="50" fillId="0" borderId="72" xfId="0" applyFont="1" applyBorder="1" applyAlignment="1">
      <alignment horizontal="center" vertical="center"/>
    </xf>
    <xf numFmtId="0" fontId="21" fillId="0" borderId="72" xfId="0" applyFont="1" applyFill="1" applyBorder="1" applyAlignment="1">
      <alignment horizontal="center" vertical="top" shrinkToFit="1"/>
    </xf>
    <xf numFmtId="0" fontId="21" fillId="6" borderId="72" xfId="0" applyFont="1" applyFill="1" applyBorder="1" applyAlignment="1">
      <alignment vertical="top" wrapText="1"/>
    </xf>
    <xf numFmtId="0" fontId="21" fillId="0" borderId="72" xfId="0" applyFont="1" applyBorder="1" applyAlignment="1">
      <alignment horizontal="left" vertical="top" wrapText="1"/>
    </xf>
    <xf numFmtId="0" fontId="21" fillId="0" borderId="72" xfId="0" applyFont="1" applyBorder="1" applyAlignment="1">
      <alignment vertical="top"/>
    </xf>
    <xf numFmtId="0" fontId="15" fillId="0" borderId="78" xfId="0" applyFont="1" applyBorder="1" applyAlignment="1">
      <alignment horizontal="left" vertical="top"/>
    </xf>
    <xf numFmtId="0" fontId="15" fillId="0" borderId="71" xfId="0" applyFont="1" applyBorder="1" applyAlignment="1">
      <alignment horizontal="left" vertical="top"/>
    </xf>
    <xf numFmtId="0" fontId="15" fillId="0" borderId="80" xfId="0" applyFont="1" applyBorder="1" applyAlignment="1">
      <alignment horizontal="left" vertical="top"/>
    </xf>
    <xf numFmtId="0" fontId="21" fillId="6" borderId="79" xfId="0" applyFont="1" applyFill="1" applyBorder="1" applyAlignment="1">
      <alignment horizontal="center" vertical="top"/>
    </xf>
    <xf numFmtId="0" fontId="21" fillId="6" borderId="78" xfId="0" applyFont="1" applyFill="1" applyBorder="1" applyAlignment="1">
      <alignment horizontal="center" vertical="top"/>
    </xf>
    <xf numFmtId="0" fontId="21" fillId="6" borderId="71" xfId="0" applyFont="1" applyFill="1" applyBorder="1" applyAlignment="1">
      <alignment horizontal="center" vertical="top"/>
    </xf>
    <xf numFmtId="0" fontId="21" fillId="6" borderId="80" xfId="0" applyFont="1" applyFill="1" applyBorder="1" applyAlignment="1">
      <alignment horizontal="center" vertical="top"/>
    </xf>
    <xf numFmtId="0" fontId="21" fillId="6" borderId="76" xfId="0" applyFont="1" applyFill="1" applyBorder="1" applyAlignment="1">
      <alignment horizontal="center" vertical="top"/>
    </xf>
    <xf numFmtId="0" fontId="21" fillId="6" borderId="81" xfId="0" applyFont="1" applyFill="1" applyBorder="1" applyAlignment="1">
      <alignment horizontal="center" vertical="top"/>
    </xf>
    <xf numFmtId="0" fontId="15" fillId="0" borderId="75" xfId="0" applyFont="1" applyBorder="1" applyAlignment="1">
      <alignment vertical="top"/>
    </xf>
    <xf numFmtId="0" fontId="21" fillId="6" borderId="75" xfId="0" applyFont="1" applyFill="1" applyBorder="1" applyAlignment="1">
      <alignment vertical="top"/>
    </xf>
    <xf numFmtId="0" fontId="21" fillId="0" borderId="75" xfId="0" applyFont="1" applyBorder="1" applyAlignment="1">
      <alignment vertical="top"/>
    </xf>
    <xf numFmtId="0" fontId="21" fillId="0" borderId="73" xfId="0" applyFont="1" applyBorder="1" applyAlignment="1">
      <alignment horizontal="left" vertical="top" wrapText="1"/>
    </xf>
    <xf numFmtId="0" fontId="21" fillId="0" borderId="77" xfId="0" applyFont="1" applyBorder="1" applyAlignment="1">
      <alignment horizontal="left" vertical="top" wrapText="1"/>
    </xf>
    <xf numFmtId="0" fontId="21" fillId="0" borderId="74" xfId="0" applyFont="1" applyBorder="1" applyAlignment="1">
      <alignment horizontal="left" vertical="top" wrapText="1"/>
    </xf>
    <xf numFmtId="0" fontId="15" fillId="40" borderId="11" xfId="0" applyFont="1" applyFill="1" applyBorder="1" applyAlignment="1">
      <alignment horizontal="center" vertical="top" wrapText="1" shrinkToFit="1"/>
    </xf>
    <xf numFmtId="0" fontId="15" fillId="40" borderId="14" xfId="0" applyFont="1" applyFill="1" applyBorder="1" applyAlignment="1">
      <alignment horizontal="center" vertical="top" wrapText="1" shrinkToFit="1"/>
    </xf>
    <xf numFmtId="0" fontId="15" fillId="40" borderId="70" xfId="0" applyFont="1" applyFill="1" applyBorder="1" applyAlignment="1">
      <alignment horizontal="center" vertical="top" wrapText="1" shrinkToFit="1"/>
    </xf>
    <xf numFmtId="49" fontId="21" fillId="40" borderId="82" xfId="0" applyNumberFormat="1" applyFont="1" applyFill="1" applyBorder="1" applyAlignment="1">
      <alignment horizontal="center" vertical="top" wrapText="1" shrinkToFit="1"/>
    </xf>
    <xf numFmtId="49" fontId="21" fillId="40" borderId="14" xfId="0" applyNumberFormat="1" applyFont="1" applyFill="1" applyBorder="1" applyAlignment="1">
      <alignment horizontal="center" vertical="top" wrapText="1" shrinkToFit="1"/>
    </xf>
    <xf numFmtId="49" fontId="21" fillId="40" borderId="70" xfId="0" applyNumberFormat="1" applyFont="1" applyFill="1" applyBorder="1" applyAlignment="1">
      <alignment horizontal="center" vertical="top" wrapText="1" shrinkToFit="1"/>
    </xf>
    <xf numFmtId="0" fontId="10" fillId="0" borderId="0" xfId="0" applyFont="1" applyBorder="1" applyAlignment="1">
      <alignment horizontal="left"/>
    </xf>
    <xf numFmtId="49" fontId="9" fillId="0" borderId="0" xfId="0" applyNumberFormat="1" applyFont="1" applyBorder="1" applyAlignment="1">
      <alignment horizontal="left"/>
    </xf>
    <xf numFmtId="0" fontId="12" fillId="4" borderId="0" xfId="0" applyFont="1" applyFill="1" applyBorder="1" applyAlignment="1">
      <alignment horizontal="left"/>
    </xf>
    <xf numFmtId="49" fontId="15" fillId="0" borderId="0" xfId="0" applyNumberFormat="1" applyFont="1" applyBorder="1" applyAlignment="1">
      <alignment horizontal="left"/>
    </xf>
    <xf numFmtId="49" fontId="15" fillId="0" borderId="83" xfId="0" applyNumberFormat="1" applyFont="1" applyBorder="1" applyAlignment="1">
      <alignment horizontal="left" vertical="top" shrinkToFit="1"/>
    </xf>
    <xf numFmtId="49" fontId="21" fillId="6" borderId="83" xfId="0" applyNumberFormat="1" applyFont="1" applyFill="1" applyBorder="1" applyAlignment="1">
      <alignment horizontal="left" vertical="top" shrinkToFit="1"/>
    </xf>
    <xf numFmtId="49" fontId="49" fillId="6" borderId="83" xfId="0" applyNumberFormat="1" applyFont="1" applyFill="1" applyBorder="1" applyAlignment="1">
      <alignment horizontal="left" vertical="top" shrinkToFit="1"/>
    </xf>
    <xf numFmtId="49" fontId="21" fillId="6" borderId="83" xfId="0" applyNumberFormat="1" applyFont="1" applyFill="1" applyBorder="1" applyAlignment="1">
      <alignment horizontal="left" vertical="top" shrinkToFit="1"/>
    </xf>
    <xf numFmtId="49" fontId="21" fillId="0" borderId="83" xfId="0" applyNumberFormat="1" applyFont="1" applyBorder="1" applyAlignment="1">
      <alignment horizontal="left" vertical="top" shrinkToFit="1"/>
    </xf>
    <xf numFmtId="49" fontId="15" fillId="0" borderId="85" xfId="0" applyNumberFormat="1" applyFont="1" applyBorder="1" applyAlignment="1">
      <alignment horizontal="left" vertical="top" shrinkToFit="1"/>
    </xf>
    <xf numFmtId="0" fontId="15" fillId="5" borderId="84" xfId="0" applyFont="1" applyFill="1" applyBorder="1" applyAlignment="1">
      <alignment wrapText="1"/>
    </xf>
    <xf numFmtId="0" fontId="15" fillId="5" borderId="86" xfId="0" applyFont="1" applyFill="1" applyBorder="1" applyAlignment="1">
      <alignment wrapText="1"/>
    </xf>
  </cellXfs>
  <cellStyles count="51">
    <cellStyle name="20% - アクセント 1" xfId="26" builtinId="30" hidden="1"/>
    <cellStyle name="20% - アクセント 2" xfId="30" builtinId="34" hidden="1"/>
    <cellStyle name="20% - アクセント 3" xfId="34" builtinId="38" hidden="1"/>
    <cellStyle name="20% - アクセント 4" xfId="38" builtinId="42" hidden="1"/>
    <cellStyle name="20% - アクセント 5" xfId="42" builtinId="46" hidden="1"/>
    <cellStyle name="20% - アクセント 6" xfId="46" builtinId="50" hidden="1"/>
    <cellStyle name="40% - アクセント 1" xfId="27" builtinId="31" hidden="1"/>
    <cellStyle name="40% - アクセント 2" xfId="31" builtinId="35" hidden="1"/>
    <cellStyle name="40% - アクセント 3" xfId="35" builtinId="39" hidden="1"/>
    <cellStyle name="40% - アクセント 4" xfId="39" builtinId="43" hidden="1"/>
    <cellStyle name="40% - アクセント 5" xfId="43" builtinId="47" hidden="1"/>
    <cellStyle name="40% - アクセント 6" xfId="47" builtinId="51" hidden="1"/>
    <cellStyle name="60% - アクセント 1" xfId="28" builtinId="32" hidden="1"/>
    <cellStyle name="60% - アクセント 2" xfId="32" builtinId="36" hidden="1"/>
    <cellStyle name="60% - アクセント 3" xfId="36" builtinId="40" hidden="1"/>
    <cellStyle name="60% - アクセント 4" xfId="40" builtinId="44" hidden="1"/>
    <cellStyle name="60% - アクセント 5" xfId="44" builtinId="48" hidden="1"/>
    <cellStyle name="60% - アクセント 6" xfId="48" builtinId="52" hidden="1"/>
    <cellStyle name="Followed Hyperlink" xfId="1" xr:uid="{00000000-0005-0000-0000-000012000000}"/>
    <cellStyle name="Hyperlink" xfId="2" xr:uid="{00000000-0005-0000-0000-000013000000}"/>
    <cellStyle name="アクセント 1" xfId="25" builtinId="29" hidden="1"/>
    <cellStyle name="アクセント 2" xfId="29" builtinId="33" hidden="1"/>
    <cellStyle name="アクセント 3" xfId="33" builtinId="37" hidden="1"/>
    <cellStyle name="アクセント 4" xfId="37" builtinId="41" hidden="1"/>
    <cellStyle name="アクセント 5" xfId="41" builtinId="45" hidden="1"/>
    <cellStyle name="アクセント 6" xfId="45" builtinId="49" hidden="1"/>
    <cellStyle name="タイトル" xfId="8" builtinId="15" hidden="1"/>
    <cellStyle name="チェック セル" xfId="20" builtinId="23" hidden="1"/>
    <cellStyle name="どちらでもない" xfId="15" builtinId="28" hidden="1"/>
    <cellStyle name="パーセント" xfId="7" builtinId="5" hidden="1"/>
    <cellStyle name="ハイパーリンク" xfId="49" builtinId="8" hidden="1"/>
    <cellStyle name="ハイパーリンク" xfId="50" builtinId="8"/>
    <cellStyle name="メモ" xfId="22" builtinId="10" hidden="1"/>
    <cellStyle name="リンク セル" xfId="19" builtinId="24" hidden="1"/>
    <cellStyle name="悪い" xfId="14" builtinId="27" hidden="1"/>
    <cellStyle name="計算" xfId="18" builtinId="22" hidden="1"/>
    <cellStyle name="警告文" xfId="21" builtinId="11" hidden="1"/>
    <cellStyle name="桁区切り" xfId="4" builtinId="6" hidden="1"/>
    <cellStyle name="桁区切り [0.00]" xfId="3" builtinId="3" hidden="1"/>
    <cellStyle name="見出し 1" xfId="9" builtinId="16" hidden="1"/>
    <cellStyle name="見出し 2" xfId="10" builtinId="17" hidden="1"/>
    <cellStyle name="見出し 3" xfId="11" builtinId="18" hidden="1"/>
    <cellStyle name="見出し 4" xfId="12" builtinId="19" hidden="1"/>
    <cellStyle name="集計" xfId="24" builtinId="25" hidden="1"/>
    <cellStyle name="出力" xfId="17" builtinId="21" hidden="1"/>
    <cellStyle name="説明文" xfId="23" builtinId="53" hidden="1"/>
    <cellStyle name="通貨" xfId="6" builtinId="7" hidden="1"/>
    <cellStyle name="通貨 [0.00]" xfId="5" builtinId="4" hidden="1"/>
    <cellStyle name="入力" xfId="16" builtinId="20" hidden="1"/>
    <cellStyle name="標準" xfId="0" builtinId="0"/>
    <cellStyle name="良い" xfId="13" builtinId="26" hidden="1"/>
  </cellStyles>
  <dxfs count="90">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s>
  <tableStyles count="0" defaultTableStyle="TableStyleMedium2" defaultPivotStyle="PivotStyleLight16"/>
  <colors>
    <mruColors>
      <color rgb="FF99CCFF"/>
      <color rgb="FF66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0</xdr:rowOff>
        </xdr:from>
        <xdr:to>
          <xdr:col>18</xdr:col>
          <xdr:colOff>56467</xdr:colOff>
          <xdr:row>2</xdr:row>
          <xdr:rowOff>184897</xdr:rowOff>
        </xdr:to>
        <xdr:pic>
          <xdr:nvPicPr>
            <xdr:cNvPr id="2" name="図 1">
              <a:extLst>
                <a:ext uri="{FF2B5EF4-FFF2-40B4-BE49-F238E27FC236}">
                  <a16:creationId xmlns:a16="http://schemas.microsoft.com/office/drawing/2014/main" id="{00000000-0008-0000-0000-000002000000}"/>
                </a:ext>
              </a:extLst>
            </xdr:cNvPr>
            <xdr:cNvPicPr>
              <a:picLocks noChangeAspect="1" noChangeArrowheads="1"/>
              <a:extLst>
                <a:ext uri="{84589F7E-364E-4C9E-8A38-B11213B215E9}">
                  <a14:cameraTool cellRange="ヘッダ!$B$3:$R$6" spid="_x0000_s50753"/>
                </a:ext>
              </a:extLst>
            </xdr:cNvPicPr>
          </xdr:nvPicPr>
          <xdr:blipFill>
            <a:blip xmlns:r="http://schemas.openxmlformats.org/officeDocument/2006/relationships" r:embed="rId1"/>
            <a:srcRect/>
            <a:stretch>
              <a:fillRect/>
            </a:stretch>
          </xdr:blipFill>
          <xdr:spPr bwMode="auto">
            <a:xfrm>
              <a:off x="158003" y="0"/>
              <a:ext cx="21145500" cy="666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63500</xdr:colOff>
          <xdr:row>3</xdr:row>
          <xdr:rowOff>63500</xdr:rowOff>
        </xdr:from>
        <xdr:to>
          <xdr:col>3</xdr:col>
          <xdr:colOff>304800</xdr:colOff>
          <xdr:row>4</xdr:row>
          <xdr:rowOff>215900</xdr:rowOff>
        </xdr:to>
        <xdr:sp macro="" textlink="">
          <xdr:nvSpPr>
            <xdr:cNvPr id="44033" name="Button 1" descr="日付チェック" hidden="1">
              <a:extLst>
                <a:ext uri="{63B3BB69-23CF-44E3-9099-C40C66FF867C}">
                  <a14:compatExt spid="_x0000_s44033"/>
                </a:ext>
                <a:ext uri="{FF2B5EF4-FFF2-40B4-BE49-F238E27FC236}">
                  <a16:creationId xmlns:a16="http://schemas.microsoft.com/office/drawing/2014/main" id="{00000000-0008-0000-00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1" i="0" u="none" strike="noStrike" baseline="0">
                  <a:solidFill>
                    <a:srgbClr val="000000"/>
                  </a:solidFill>
                  <a:latin typeface="ＭＳ ゴシック" charset="-128"/>
                  <a:ea typeface="ＭＳ ゴシック" charset="-128"/>
                </a:rPr>
                <a:t>日付チェック</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0</xdr:rowOff>
        </xdr:from>
        <xdr:to>
          <xdr:col>26</xdr:col>
          <xdr:colOff>202827</xdr:colOff>
          <xdr:row>2</xdr:row>
          <xdr:rowOff>184897</xdr:rowOff>
        </xdr:to>
        <xdr:pic>
          <xdr:nvPicPr>
            <xdr:cNvPr id="2" name="図 1">
              <a:extLst>
                <a:ext uri="{FF2B5EF4-FFF2-40B4-BE49-F238E27FC236}">
                  <a16:creationId xmlns:a16="http://schemas.microsoft.com/office/drawing/2014/main" id="{00000000-0008-0000-0100-000002000000}"/>
                </a:ext>
              </a:extLst>
            </xdr:cNvPr>
            <xdr:cNvPicPr>
              <a:picLocks noChangeAspect="1" noChangeArrowheads="1"/>
              <a:extLst>
                <a:ext uri="{84589F7E-364E-4C9E-8A38-B11213B215E9}">
                  <a14:cameraTool cellRange="#REF!" spid="_x0000_s51775"/>
                </a:ext>
              </a:extLst>
            </xdr:cNvPicPr>
          </xdr:nvPicPr>
          <xdr:blipFill>
            <a:blip xmlns:r="http://schemas.openxmlformats.org/officeDocument/2006/relationships" r:embed="rId1"/>
            <a:srcRect/>
            <a:stretch>
              <a:fillRect/>
            </a:stretch>
          </xdr:blipFill>
          <xdr:spPr bwMode="auto">
            <a:xfrm>
              <a:off x="158003" y="0"/>
              <a:ext cx="21145500" cy="6667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63500</xdr:colOff>
          <xdr:row>3</xdr:row>
          <xdr:rowOff>63500</xdr:rowOff>
        </xdr:from>
        <xdr:to>
          <xdr:col>3</xdr:col>
          <xdr:colOff>304800</xdr:colOff>
          <xdr:row>4</xdr:row>
          <xdr:rowOff>215900</xdr:rowOff>
        </xdr:to>
        <xdr:sp macro="" textlink="">
          <xdr:nvSpPr>
            <xdr:cNvPr id="37889" name="Button 1" descr="日付チェック"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1" i="0" u="none" strike="noStrike" baseline="0">
                  <a:solidFill>
                    <a:srgbClr val="000000"/>
                  </a:solidFill>
                  <a:latin typeface="ＭＳ ゴシック" charset="-128"/>
                  <a:ea typeface="ＭＳ ゴシック" charset="-128"/>
                </a:rPr>
                <a:t>日付チェック</a:t>
              </a:r>
            </a:p>
          </xdr:txBody>
        </xdr:sp>
        <xdr:clientData fPrintsWithSheet="0"/>
      </xdr:twoCellAnchor>
    </mc:Choice>
    <mc:Fallback/>
  </mc:AlternateContent>
  <xdr:twoCellAnchor>
    <xdr:from>
      <xdr:col>1</xdr:col>
      <xdr:colOff>694765</xdr:colOff>
      <xdr:row>5</xdr:row>
      <xdr:rowOff>67235</xdr:rowOff>
    </xdr:from>
    <xdr:to>
      <xdr:col>6</xdr:col>
      <xdr:colOff>11206</xdr:colOff>
      <xdr:row>6</xdr:row>
      <xdr:rowOff>212912</xdr:rowOff>
    </xdr:to>
    <xdr:sp macro="" textlink="">
      <xdr:nvSpPr>
        <xdr:cNvPr id="3" name="吹き出し: 四角形 2">
          <a:extLst>
            <a:ext uri="{FF2B5EF4-FFF2-40B4-BE49-F238E27FC236}">
              <a16:creationId xmlns:a16="http://schemas.microsoft.com/office/drawing/2014/main" id="{00000000-0008-0000-0100-000003000000}"/>
            </a:ext>
          </a:extLst>
        </xdr:cNvPr>
        <xdr:cNvSpPr/>
      </xdr:nvSpPr>
      <xdr:spPr>
        <a:xfrm>
          <a:off x="795618" y="1311088"/>
          <a:ext cx="1378323" cy="403412"/>
        </a:xfrm>
        <a:prstGeom prst="wedgeRectCallout">
          <a:avLst>
            <a:gd name="adj1" fmla="val -56605"/>
            <a:gd name="adj2" fmla="val 2041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ja-JP" altLang="en-US" sz="1100"/>
            <a:t>入力不要</a:t>
          </a:r>
        </a:p>
      </xdr:txBody>
    </xdr:sp>
    <xdr:clientData/>
  </xdr:twoCellAnchor>
  <xdr:twoCellAnchor>
    <xdr:from>
      <xdr:col>23</xdr:col>
      <xdr:colOff>672352</xdr:colOff>
      <xdr:row>7</xdr:row>
      <xdr:rowOff>156881</xdr:rowOff>
    </xdr:from>
    <xdr:to>
      <xdr:col>24</xdr:col>
      <xdr:colOff>1961029</xdr:colOff>
      <xdr:row>9</xdr:row>
      <xdr:rowOff>336176</xdr:rowOff>
    </xdr:to>
    <xdr:sp macro="" textlink="">
      <xdr:nvSpPr>
        <xdr:cNvPr id="5" name="吹き出し: 四角形 4">
          <a:extLst>
            <a:ext uri="{FF2B5EF4-FFF2-40B4-BE49-F238E27FC236}">
              <a16:creationId xmlns:a16="http://schemas.microsoft.com/office/drawing/2014/main" id="{00000000-0008-0000-0100-000005000000}"/>
            </a:ext>
          </a:extLst>
        </xdr:cNvPr>
        <xdr:cNvSpPr/>
      </xdr:nvSpPr>
      <xdr:spPr>
        <a:xfrm>
          <a:off x="17469970" y="1916205"/>
          <a:ext cx="2039471" cy="694765"/>
        </a:xfrm>
        <a:prstGeom prst="wedgeRectCallout">
          <a:avLst>
            <a:gd name="adj1" fmla="val -53308"/>
            <a:gd name="adj2" fmla="val 84812"/>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ja-JP" altLang="en-US" sz="1100"/>
            <a:t>不具合があった場合は</a:t>
          </a:r>
          <a:r>
            <a:rPr kumimoji="1" lang="en-US" altLang="ja-JP" sz="1100"/>
            <a:t>Redmine</a:t>
          </a:r>
          <a:r>
            <a:rPr kumimoji="1" lang="ja-JP" altLang="en-US" sz="1100"/>
            <a:t>に記票し番号を記入</a:t>
          </a:r>
        </a:p>
      </xdr:txBody>
    </xdr:sp>
    <xdr:clientData/>
  </xdr:twoCellAnchor>
  <xdr:twoCellAnchor>
    <xdr:from>
      <xdr:col>22</xdr:col>
      <xdr:colOff>44824</xdr:colOff>
      <xdr:row>11</xdr:row>
      <xdr:rowOff>67235</xdr:rowOff>
    </xdr:from>
    <xdr:to>
      <xdr:col>24</xdr:col>
      <xdr:colOff>649942</xdr:colOff>
      <xdr:row>14</xdr:row>
      <xdr:rowOff>22412</xdr:rowOff>
    </xdr:to>
    <xdr:sp macro="" textlink="">
      <xdr:nvSpPr>
        <xdr:cNvPr id="6" name="吹き出し: 四角形 5">
          <a:extLst>
            <a:ext uri="{FF2B5EF4-FFF2-40B4-BE49-F238E27FC236}">
              <a16:creationId xmlns:a16="http://schemas.microsoft.com/office/drawing/2014/main" id="{00000000-0008-0000-0100-000006000000}"/>
            </a:ext>
          </a:extLst>
        </xdr:cNvPr>
        <xdr:cNvSpPr/>
      </xdr:nvSpPr>
      <xdr:spPr>
        <a:xfrm>
          <a:off x="16158883" y="3104029"/>
          <a:ext cx="2039471" cy="694765"/>
        </a:xfrm>
        <a:prstGeom prst="wedgeRectCallout">
          <a:avLst>
            <a:gd name="adj1" fmla="val -62649"/>
            <a:gd name="adj2" fmla="val -68414"/>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kumimoji="1" lang="ja-JP" altLang="en-US" sz="1100"/>
            <a:t>不具合修正後の確認日を記入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D7CE8-5FC1-498F-B2BD-B76629C396BB}">
  <sheetPr codeName="Sheet2">
    <pageSetUpPr fitToPage="1"/>
  </sheetPr>
  <dimension ref="A1:AS138"/>
  <sheetViews>
    <sheetView showGridLines="0" tabSelected="1" view="pageBreakPreview" topLeftCell="A86" zoomScale="93" zoomScaleNormal="100" zoomScaleSheetLayoutView="85" workbookViewId="0">
      <selection activeCell="J104" sqref="J104"/>
    </sheetView>
  </sheetViews>
  <sheetFormatPr baseColWidth="10" defaultColWidth="9" defaultRowHeight="20" outlineLevelCol="1"/>
  <cols>
    <col min="1" max="1" width="1.1640625" style="190" customWidth="1"/>
    <col min="2" max="2" width="13.5" style="185" customWidth="1" outlineLevel="1"/>
    <col min="3" max="3" width="2.6640625" style="191" customWidth="1"/>
    <col min="4" max="4" width="4.1640625" style="370" customWidth="1"/>
    <col min="5" max="6" width="3.1640625" style="185" customWidth="1"/>
    <col min="7" max="7" width="10" style="185" customWidth="1"/>
    <col min="8" max="8" width="37.5" style="185" customWidth="1"/>
    <col min="9" max="9" width="48.83203125" style="185" customWidth="1"/>
    <col min="10" max="10" width="106.33203125" style="315" customWidth="1"/>
    <col min="11" max="11" width="18.5" style="185" hidden="1" customWidth="1" outlineLevel="1"/>
    <col min="12" max="12" width="9" style="185" customWidth="1" outlineLevel="1"/>
    <col min="13" max="13" width="11.6640625" style="185" customWidth="1"/>
    <col min="14" max="19" width="5.6640625" style="185" customWidth="1"/>
    <col min="20" max="22" width="5.6640625" style="185" customWidth="1" outlineLevel="1"/>
    <col min="23" max="23" width="9" style="234" customWidth="1"/>
    <col min="24" max="24" width="9.83203125" style="185" customWidth="1"/>
    <col min="25" max="25" width="39" style="185" customWidth="1"/>
    <col min="26" max="27" width="7.6640625" style="185" customWidth="1"/>
    <col min="28" max="31" width="9" style="185"/>
    <col min="32" max="32" width="4.1640625" style="185" customWidth="1"/>
    <col min="33" max="34" width="8.6640625" style="196" customWidth="1"/>
    <col min="35" max="43" width="8.6640625" style="196" hidden="1" customWidth="1" outlineLevel="1"/>
    <col min="44" max="44" width="4.1640625" style="185" customWidth="1" collapsed="1"/>
    <col min="45" max="45" width="25.6640625" style="189" customWidth="1"/>
    <col min="46" max="16384" width="9" style="185"/>
  </cols>
  <sheetData>
    <row r="1" spans="1:45" ht="19">
      <c r="A1" s="184"/>
      <c r="C1" s="186"/>
      <c r="D1" s="369"/>
      <c r="E1" s="187"/>
      <c r="F1" s="187"/>
      <c r="G1" s="187"/>
      <c r="I1" s="187"/>
      <c r="J1" s="314"/>
      <c r="K1" s="187"/>
      <c r="L1" s="187"/>
      <c r="M1" s="187"/>
      <c r="S1" s="187"/>
      <c r="T1" s="187"/>
      <c r="U1" s="187"/>
      <c r="V1" s="187"/>
      <c r="W1" s="187"/>
      <c r="X1" s="187"/>
      <c r="AA1" s="188"/>
      <c r="AG1" s="189"/>
      <c r="AH1" s="189"/>
      <c r="AI1" s="189"/>
      <c r="AJ1" s="189"/>
      <c r="AK1" s="189"/>
      <c r="AL1" s="189"/>
      <c r="AM1" s="189"/>
      <c r="AN1" s="189"/>
      <c r="AO1" s="189"/>
      <c r="AP1" s="189"/>
      <c r="AQ1" s="189"/>
    </row>
    <row r="2" spans="1:45">
      <c r="C2" s="255"/>
      <c r="D2" s="255"/>
      <c r="E2" s="187"/>
      <c r="F2" s="187"/>
      <c r="G2" s="187"/>
      <c r="I2" s="187"/>
      <c r="J2" s="314"/>
      <c r="K2" s="187"/>
      <c r="L2" s="187"/>
      <c r="M2" s="187"/>
      <c r="S2" s="187"/>
      <c r="T2" s="187"/>
      <c r="U2" s="187"/>
      <c r="V2" s="187"/>
      <c r="W2" s="187"/>
      <c r="X2" s="187"/>
      <c r="AG2" s="185"/>
      <c r="AH2" s="185"/>
      <c r="AI2" s="189"/>
      <c r="AJ2" s="189"/>
      <c r="AK2" s="189"/>
      <c r="AL2" s="189"/>
      <c r="AM2" s="189"/>
      <c r="AN2" s="189"/>
      <c r="AO2" s="189"/>
      <c r="AP2" s="189"/>
      <c r="AQ2" s="189"/>
    </row>
    <row r="3" spans="1:45" ht="21" thickBot="1">
      <c r="W3" s="185"/>
      <c r="AG3" s="185" t="s">
        <v>76</v>
      </c>
      <c r="AH3" s="189"/>
      <c r="AI3" s="189"/>
      <c r="AJ3" s="189"/>
      <c r="AK3" s="189"/>
      <c r="AL3" s="189"/>
      <c r="AM3" s="189"/>
      <c r="AN3" s="189"/>
      <c r="AO3" s="189"/>
      <c r="AP3" s="189"/>
      <c r="AQ3" s="189"/>
    </row>
    <row r="4" spans="1:45">
      <c r="B4" s="192"/>
      <c r="C4" s="193"/>
      <c r="D4" s="371" t="s">
        <v>26</v>
      </c>
      <c r="E4" s="194"/>
      <c r="F4" s="194"/>
      <c r="G4" s="194"/>
      <c r="H4" s="195"/>
      <c r="I4" s="195"/>
      <c r="J4" s="316"/>
      <c r="K4" s="195"/>
      <c r="L4" s="195"/>
      <c r="M4" s="195" t="s">
        <v>0</v>
      </c>
      <c r="N4" s="195" t="s">
        <v>0</v>
      </c>
      <c r="O4" s="195" t="s">
        <v>0</v>
      </c>
      <c r="P4" s="195" t="s">
        <v>0</v>
      </c>
      <c r="Q4" s="195" t="s">
        <v>0</v>
      </c>
      <c r="R4" s="195" t="s">
        <v>0</v>
      </c>
      <c r="S4" s="195" t="s">
        <v>0</v>
      </c>
      <c r="T4" s="195" t="s">
        <v>0</v>
      </c>
      <c r="U4" s="195" t="s">
        <v>0</v>
      </c>
      <c r="V4" s="195" t="s">
        <v>0</v>
      </c>
      <c r="W4" s="195" t="s">
        <v>0</v>
      </c>
      <c r="X4" s="195" t="s">
        <v>0</v>
      </c>
      <c r="Y4" s="195"/>
      <c r="Z4" s="195" t="s">
        <v>0</v>
      </c>
      <c r="AA4" s="195" t="s">
        <v>0</v>
      </c>
      <c r="AC4" s="196" t="s">
        <v>21</v>
      </c>
      <c r="AG4" s="197" t="s">
        <v>74</v>
      </c>
      <c r="AH4" s="198" t="s">
        <v>75</v>
      </c>
      <c r="AI4" s="185"/>
      <c r="AJ4" s="189"/>
      <c r="AK4" s="189"/>
      <c r="AL4" s="189"/>
      <c r="AM4" s="189"/>
      <c r="AN4" s="189"/>
      <c r="AO4" s="189"/>
      <c r="AP4" s="189"/>
      <c r="AQ4" s="189"/>
    </row>
    <row r="5" spans="1:45" ht="21" thickBot="1">
      <c r="B5" s="192"/>
      <c r="C5" s="199"/>
      <c r="D5" s="371">
        <f ca="1">SUMPRODUCT((OFFSET(D5,明細開始行-$AG$5,0,$AH$5-明細開始行+1)&lt;&gt;0)*1)</f>
        <v>16</v>
      </c>
      <c r="E5" s="194"/>
      <c r="F5" s="194"/>
      <c r="G5" s="194"/>
      <c r="H5" s="195"/>
      <c r="I5" s="195"/>
      <c r="J5" s="316"/>
      <c r="K5" s="195"/>
      <c r="L5" s="195"/>
      <c r="M5" s="195">
        <f t="shared" ref="M5:V5" ca="1" si="0">SUMPRODUCT((OFFSET(M5,明細開始行-$AG$5,0,$AH$5-明細開始行+1)&lt;&gt;0)*(OFFSET($AA5,明細開始行-$AG$5,0,$AH$5-明細開始行+1)=0))</f>
        <v>15</v>
      </c>
      <c r="N5" s="195">
        <f t="shared" ca="1" si="0"/>
        <v>15</v>
      </c>
      <c r="O5" s="195">
        <f t="shared" ca="1" si="0"/>
        <v>15</v>
      </c>
      <c r="P5" s="195">
        <f t="shared" ca="1" si="0"/>
        <v>15</v>
      </c>
      <c r="Q5" s="195">
        <f t="shared" ca="1" si="0"/>
        <v>0</v>
      </c>
      <c r="R5" s="195">
        <f t="shared" ca="1" si="0"/>
        <v>0</v>
      </c>
      <c r="S5" s="195">
        <f t="shared" ca="1" si="0"/>
        <v>0</v>
      </c>
      <c r="T5" s="195">
        <f t="shared" ca="1" si="0"/>
        <v>0</v>
      </c>
      <c r="U5" s="195">
        <f t="shared" ca="1" si="0"/>
        <v>0</v>
      </c>
      <c r="V5" s="195">
        <f t="shared" ca="1" si="0"/>
        <v>0</v>
      </c>
      <c r="W5" s="195">
        <f ca="1">SUMPRODUCT((OFFSET(W5,明細開始行-$AG$5,0,$AH$5-明細開始行+1))*(OFFSET($AA5,明細開始行-$AG$5,0,$AH$5-明細開始行+1)=0))</f>
        <v>0</v>
      </c>
      <c r="X5" s="195">
        <f ca="1">SUMPRODUCT((OFFSET(X5,明細開始行-$AG$5,0,$AH$5-明細開始行+1)&lt;&gt;0)*(OFFSET($AA5,明細開始行-$AG$5,0,$AH$5-明細開始行+1)=0))</f>
        <v>0</v>
      </c>
      <c r="Y5" s="195"/>
      <c r="Z5" s="195">
        <f ca="1">SUMPRODUCT((OFFSET(Z5,明細開始行-$AG$5,0,$AH$5-明細開始行+1)&lt;&gt;0)*(OFFSET($AA5,明細開始行-$AG$5,0,$AH$5-明細開始行+1)=0))</f>
        <v>0</v>
      </c>
      <c r="AA5" s="195">
        <f ca="1">SUMPRODUCT((OFFSET(AA5,明細開始行-$AG$5,0,$AH$5-明細開始行+1)&lt;&gt;0)*1)</f>
        <v>0</v>
      </c>
      <c r="AC5" s="185" t="s">
        <v>23</v>
      </c>
      <c r="AG5" s="200">
        <f>ROW(D5)</f>
        <v>5</v>
      </c>
      <c r="AH5" s="201">
        <f>MATCH("END_LINE",$C:$C,0)-1</f>
        <v>137</v>
      </c>
      <c r="AI5" s="185"/>
      <c r="AJ5" s="189"/>
      <c r="AK5" s="189"/>
      <c r="AL5" s="189"/>
      <c r="AM5" s="189"/>
      <c r="AN5" s="189"/>
      <c r="AO5" s="189"/>
      <c r="AP5" s="189"/>
      <c r="AQ5" s="189"/>
    </row>
    <row r="6" spans="1:45" ht="21" thickBot="1">
      <c r="W6" s="185"/>
      <c r="AE6" s="202"/>
      <c r="AG6" s="185"/>
      <c r="AH6" s="185"/>
      <c r="AI6" s="189"/>
      <c r="AJ6" s="189"/>
      <c r="AK6" s="189"/>
      <c r="AL6" s="189"/>
      <c r="AM6" s="189"/>
      <c r="AN6" s="189"/>
      <c r="AO6" s="189"/>
      <c r="AP6" s="189"/>
      <c r="AQ6" s="189"/>
    </row>
    <row r="7" spans="1:45" ht="21" thickBot="1">
      <c r="B7" s="256" t="s">
        <v>345</v>
      </c>
      <c r="C7" s="258" t="s">
        <v>183</v>
      </c>
      <c r="D7" s="259"/>
      <c r="E7" s="262" t="s">
        <v>173</v>
      </c>
      <c r="F7" s="263"/>
      <c r="G7" s="263"/>
      <c r="H7" s="266" t="s">
        <v>174</v>
      </c>
      <c r="I7" s="266" t="s">
        <v>175</v>
      </c>
      <c r="J7" s="235" t="s">
        <v>16</v>
      </c>
      <c r="K7" s="253" t="s">
        <v>24</v>
      </c>
      <c r="L7" s="251" t="s">
        <v>27</v>
      </c>
      <c r="M7" s="251" t="s">
        <v>181</v>
      </c>
      <c r="N7" s="242" t="s">
        <v>176</v>
      </c>
      <c r="O7" s="239"/>
      <c r="P7" s="239"/>
      <c r="Q7" s="242" t="s">
        <v>182</v>
      </c>
      <c r="R7" s="239"/>
      <c r="S7" s="239"/>
      <c r="T7" s="242" t="s">
        <v>180</v>
      </c>
      <c r="U7" s="239"/>
      <c r="V7" s="239"/>
      <c r="W7" s="243" t="s">
        <v>179</v>
      </c>
      <c r="X7" s="245" t="s">
        <v>1</v>
      </c>
      <c r="Y7" s="247" t="s">
        <v>2</v>
      </c>
      <c r="Z7" s="247" t="s">
        <v>3</v>
      </c>
      <c r="AA7" s="249" t="s">
        <v>4</v>
      </c>
      <c r="AC7" s="238" t="s">
        <v>19</v>
      </c>
      <c r="AD7" s="239"/>
      <c r="AE7" s="240"/>
      <c r="AF7" s="203"/>
      <c r="AG7" s="185"/>
      <c r="AH7" s="185"/>
      <c r="AI7" s="185"/>
      <c r="AJ7" s="2"/>
      <c r="AK7" s="2"/>
      <c r="AL7" s="2"/>
      <c r="AM7" s="2"/>
      <c r="AN7" s="2"/>
      <c r="AO7" s="2"/>
      <c r="AP7" s="189"/>
      <c r="AQ7" s="189"/>
    </row>
    <row r="8" spans="1:45" ht="21" thickBot="1">
      <c r="B8" s="257"/>
      <c r="C8" s="260"/>
      <c r="D8" s="261"/>
      <c r="E8" s="264"/>
      <c r="F8" s="265"/>
      <c r="G8" s="265"/>
      <c r="H8" s="267"/>
      <c r="I8" s="267"/>
      <c r="J8" s="236"/>
      <c r="K8" s="254"/>
      <c r="L8" s="252"/>
      <c r="M8" s="252"/>
      <c r="N8" s="204" t="s">
        <v>348</v>
      </c>
      <c r="O8" s="205" t="s">
        <v>17</v>
      </c>
      <c r="P8" s="205" t="s">
        <v>18</v>
      </c>
      <c r="Q8" s="204" t="s">
        <v>347</v>
      </c>
      <c r="R8" s="205" t="s">
        <v>17</v>
      </c>
      <c r="S8" s="205" t="s">
        <v>18</v>
      </c>
      <c r="T8" s="204" t="s">
        <v>348</v>
      </c>
      <c r="U8" s="205" t="s">
        <v>17</v>
      </c>
      <c r="V8" s="205" t="s">
        <v>18</v>
      </c>
      <c r="W8" s="244"/>
      <c r="X8" s="246"/>
      <c r="Y8" s="248"/>
      <c r="Z8" s="248"/>
      <c r="AA8" s="250"/>
      <c r="AC8" s="206" t="s">
        <v>72</v>
      </c>
      <c r="AD8" s="207" t="s">
        <v>20</v>
      </c>
      <c r="AE8" s="208" t="s">
        <v>73</v>
      </c>
      <c r="AF8" s="196"/>
      <c r="AG8" s="185"/>
      <c r="AH8" s="185"/>
      <c r="AI8" s="185"/>
      <c r="AJ8" s="189"/>
      <c r="AK8" s="189"/>
      <c r="AL8" s="189"/>
      <c r="AM8" s="189"/>
      <c r="AN8" s="189"/>
      <c r="AO8" s="189"/>
      <c r="AP8" s="189"/>
      <c r="AQ8" s="189"/>
      <c r="AS8" s="209" t="s">
        <v>29</v>
      </c>
    </row>
    <row r="9" spans="1:45" ht="21" thickBot="1">
      <c r="B9" s="210"/>
      <c r="C9" s="211"/>
      <c r="D9" s="379"/>
      <c r="E9" s="380"/>
      <c r="F9" s="306"/>
      <c r="G9" s="306"/>
      <c r="H9" s="307"/>
      <c r="I9" s="308"/>
      <c r="J9" s="308"/>
      <c r="K9" s="308"/>
      <c r="L9" s="308"/>
      <c r="M9" s="308"/>
      <c r="N9" s="309"/>
      <c r="O9" s="310"/>
      <c r="P9" s="310"/>
      <c r="Q9" s="304"/>
      <c r="R9" s="309"/>
      <c r="S9" s="309"/>
      <c r="T9" s="304"/>
      <c r="U9" s="309"/>
      <c r="V9" s="318"/>
      <c r="W9" s="319"/>
      <c r="X9" s="319"/>
      <c r="Y9" s="305"/>
      <c r="Z9" s="311"/>
      <c r="AA9" s="312"/>
      <c r="AC9" s="212"/>
      <c r="AE9" s="213"/>
      <c r="AG9" s="189"/>
      <c r="AH9" s="189"/>
      <c r="AI9" s="189"/>
      <c r="AJ9" s="189"/>
      <c r="AK9" s="189"/>
      <c r="AL9" s="189"/>
      <c r="AM9" s="189"/>
      <c r="AN9" s="189"/>
      <c r="AO9" s="189"/>
      <c r="AP9" s="189"/>
      <c r="AQ9" s="189"/>
      <c r="AS9" s="214"/>
    </row>
    <row r="10" spans="1:45" s="221" customFormat="1" ht="18" customHeight="1">
      <c r="A10" s="215"/>
      <c r="B10" s="363" t="str">
        <f>IF(D10="","",ヘッダ!$C$5)</f>
        <v>Social Login</v>
      </c>
      <c r="C10" s="216"/>
      <c r="D10" s="378" t="s">
        <v>346</v>
      </c>
      <c r="E10" s="357"/>
      <c r="F10" s="349" t="s">
        <v>359</v>
      </c>
      <c r="G10" s="348"/>
      <c r="H10" s="322" t="s">
        <v>415</v>
      </c>
      <c r="I10" s="323" t="s">
        <v>390</v>
      </c>
      <c r="J10" s="321" t="s">
        <v>409</v>
      </c>
      <c r="K10" s="324"/>
      <c r="L10" s="325"/>
      <c r="M10" s="326" t="s">
        <v>371</v>
      </c>
      <c r="N10" s="327" t="s">
        <v>389</v>
      </c>
      <c r="O10" s="328">
        <v>44419</v>
      </c>
      <c r="P10" s="328">
        <v>44419</v>
      </c>
      <c r="Q10" s="329"/>
      <c r="R10" s="330"/>
      <c r="S10" s="330"/>
      <c r="T10" s="331"/>
      <c r="U10" s="332"/>
      <c r="V10" s="332"/>
      <c r="W10" s="333"/>
      <c r="X10" s="334"/>
      <c r="Y10" s="321"/>
      <c r="Z10" s="330"/>
      <c r="AA10" s="330"/>
      <c r="AB10" s="11"/>
      <c r="AC10" s="217"/>
      <c r="AD10" s="218"/>
      <c r="AE10" s="219"/>
      <c r="AF10" s="11"/>
      <c r="AG10" s="11"/>
      <c r="AH10" s="11"/>
      <c r="AI10" s="11"/>
      <c r="AJ10" s="11"/>
      <c r="AK10" s="11"/>
      <c r="AL10" s="11"/>
      <c r="AM10" s="11"/>
      <c r="AN10" s="11"/>
      <c r="AO10" s="11"/>
      <c r="AP10" s="11"/>
      <c r="AQ10" s="11"/>
      <c r="AR10" s="11"/>
      <c r="AS10" s="220" t="str">
        <f>ヘッダ!$G$5</f>
        <v>02_単体テスト</v>
      </c>
    </row>
    <row r="11" spans="1:45" s="221" customFormat="1" ht="18" customHeight="1">
      <c r="A11" s="215"/>
      <c r="B11" s="364"/>
      <c r="C11" s="313"/>
      <c r="D11" s="373"/>
      <c r="E11" s="357"/>
      <c r="F11" s="349"/>
      <c r="G11" s="350"/>
      <c r="H11" s="322"/>
      <c r="I11" s="323"/>
      <c r="J11" s="321" t="s">
        <v>410</v>
      </c>
      <c r="K11" s="324"/>
      <c r="L11" s="325"/>
      <c r="M11" s="326" t="s">
        <v>371</v>
      </c>
      <c r="N11" s="327" t="s">
        <v>389</v>
      </c>
      <c r="O11" s="328">
        <v>44419</v>
      </c>
      <c r="P11" s="328">
        <v>44419</v>
      </c>
      <c r="Q11" s="329"/>
      <c r="R11" s="330"/>
      <c r="S11" s="330"/>
      <c r="T11" s="331"/>
      <c r="U11" s="332"/>
      <c r="V11" s="332"/>
      <c r="W11" s="333"/>
      <c r="X11" s="334"/>
      <c r="Y11" s="321"/>
      <c r="Z11" s="330"/>
      <c r="AA11" s="330"/>
      <c r="AB11" s="11"/>
      <c r="AC11" s="217"/>
      <c r="AD11" s="218"/>
      <c r="AE11" s="219"/>
      <c r="AF11" s="11"/>
      <c r="AG11" s="11"/>
      <c r="AH11" s="11"/>
      <c r="AI11" s="11"/>
      <c r="AJ11" s="11"/>
      <c r="AK11" s="11"/>
      <c r="AL11" s="11"/>
      <c r="AM11" s="11"/>
      <c r="AN11" s="11"/>
      <c r="AO11" s="11"/>
      <c r="AP11" s="11"/>
      <c r="AQ11" s="11"/>
      <c r="AR11" s="11"/>
      <c r="AS11" s="220"/>
    </row>
    <row r="12" spans="1:45" s="221" customFormat="1" ht="18" customHeight="1">
      <c r="A12" s="215"/>
      <c r="B12" s="364"/>
      <c r="C12" s="313"/>
      <c r="D12" s="373"/>
      <c r="E12" s="357"/>
      <c r="F12" s="349"/>
      <c r="G12" s="350"/>
      <c r="H12" s="322"/>
      <c r="I12" s="323"/>
      <c r="J12" s="321" t="s">
        <v>411</v>
      </c>
      <c r="K12" s="324"/>
      <c r="L12" s="325"/>
      <c r="M12" s="326" t="s">
        <v>371</v>
      </c>
      <c r="N12" s="327" t="s">
        <v>389</v>
      </c>
      <c r="O12" s="328">
        <v>44419</v>
      </c>
      <c r="P12" s="328">
        <v>44419</v>
      </c>
      <c r="Q12" s="329"/>
      <c r="R12" s="330"/>
      <c r="S12" s="330"/>
      <c r="T12" s="331"/>
      <c r="U12" s="332"/>
      <c r="V12" s="332"/>
      <c r="W12" s="333"/>
      <c r="X12" s="334"/>
      <c r="Y12" s="321"/>
      <c r="Z12" s="330"/>
      <c r="AA12" s="330"/>
      <c r="AB12" s="11"/>
      <c r="AC12" s="217"/>
      <c r="AD12" s="218"/>
      <c r="AE12" s="219"/>
      <c r="AF12" s="11"/>
      <c r="AG12" s="11"/>
      <c r="AH12" s="11"/>
      <c r="AI12" s="11"/>
      <c r="AJ12" s="11"/>
      <c r="AK12" s="11"/>
      <c r="AL12" s="11"/>
      <c r="AM12" s="11"/>
      <c r="AN12" s="11"/>
      <c r="AO12" s="11"/>
      <c r="AP12" s="11"/>
      <c r="AQ12" s="11"/>
      <c r="AR12" s="11"/>
      <c r="AS12" s="220"/>
    </row>
    <row r="13" spans="1:45" s="221" customFormat="1" ht="18" customHeight="1">
      <c r="A13" s="215"/>
      <c r="B13" s="364"/>
      <c r="C13" s="313"/>
      <c r="D13" s="373"/>
      <c r="E13" s="357"/>
      <c r="F13" s="349"/>
      <c r="G13" s="350"/>
      <c r="H13" s="322"/>
      <c r="I13" s="323"/>
      <c r="J13" s="321" t="s">
        <v>412</v>
      </c>
      <c r="K13" s="324"/>
      <c r="L13" s="325"/>
      <c r="M13" s="326" t="s">
        <v>371</v>
      </c>
      <c r="N13" s="327" t="s">
        <v>389</v>
      </c>
      <c r="O13" s="328">
        <v>44419</v>
      </c>
      <c r="P13" s="328">
        <v>44419</v>
      </c>
      <c r="Q13" s="329"/>
      <c r="R13" s="330"/>
      <c r="S13" s="330"/>
      <c r="T13" s="331"/>
      <c r="U13" s="332"/>
      <c r="V13" s="332"/>
      <c r="W13" s="333"/>
      <c r="X13" s="334"/>
      <c r="Y13" s="321"/>
      <c r="Z13" s="330"/>
      <c r="AA13" s="330"/>
      <c r="AB13" s="11"/>
      <c r="AC13" s="217"/>
      <c r="AD13" s="218"/>
      <c r="AE13" s="219"/>
      <c r="AF13" s="11"/>
      <c r="AG13" s="11"/>
      <c r="AH13" s="11"/>
      <c r="AI13" s="11"/>
      <c r="AJ13" s="11"/>
      <c r="AK13" s="11"/>
      <c r="AL13" s="11"/>
      <c r="AM13" s="11"/>
      <c r="AN13" s="11"/>
      <c r="AO13" s="11"/>
      <c r="AP13" s="11"/>
      <c r="AQ13" s="11"/>
      <c r="AR13" s="11"/>
      <c r="AS13" s="220"/>
    </row>
    <row r="14" spans="1:45" s="221" customFormat="1" ht="18" customHeight="1">
      <c r="A14" s="215"/>
      <c r="B14" s="364"/>
      <c r="C14" s="313"/>
      <c r="D14" s="373"/>
      <c r="E14" s="357"/>
      <c r="F14" s="349"/>
      <c r="G14" s="350"/>
      <c r="H14" s="322"/>
      <c r="I14" s="323"/>
      <c r="J14" s="321" t="s">
        <v>413</v>
      </c>
      <c r="K14" s="324"/>
      <c r="L14" s="325"/>
      <c r="M14" s="326" t="s">
        <v>371</v>
      </c>
      <c r="N14" s="327" t="s">
        <v>389</v>
      </c>
      <c r="O14" s="328">
        <v>44419</v>
      </c>
      <c r="P14" s="328">
        <v>44419</v>
      </c>
      <c r="Q14" s="329"/>
      <c r="R14" s="330"/>
      <c r="S14" s="330"/>
      <c r="T14" s="331"/>
      <c r="U14" s="332"/>
      <c r="V14" s="332"/>
      <c r="W14" s="333"/>
      <c r="X14" s="334"/>
      <c r="Y14" s="321"/>
      <c r="Z14" s="330"/>
      <c r="AA14" s="330"/>
      <c r="AB14" s="11"/>
      <c r="AC14" s="217"/>
      <c r="AD14" s="218"/>
      <c r="AE14" s="219"/>
      <c r="AF14" s="11"/>
      <c r="AG14" s="11"/>
      <c r="AH14" s="11"/>
      <c r="AI14" s="11"/>
      <c r="AJ14" s="11"/>
      <c r="AK14" s="11"/>
      <c r="AL14" s="11"/>
      <c r="AM14" s="11"/>
      <c r="AN14" s="11"/>
      <c r="AO14" s="11"/>
      <c r="AP14" s="11"/>
      <c r="AQ14" s="11"/>
      <c r="AR14" s="11"/>
      <c r="AS14" s="220"/>
    </row>
    <row r="15" spans="1:45" s="221" customFormat="1" ht="18" customHeight="1">
      <c r="A15" s="215"/>
      <c r="B15" s="364"/>
      <c r="C15" s="313"/>
      <c r="D15" s="373"/>
      <c r="E15" s="357"/>
      <c r="F15" s="349"/>
      <c r="G15" s="350"/>
      <c r="H15" s="322"/>
      <c r="I15" s="323"/>
      <c r="J15" s="321" t="s">
        <v>414</v>
      </c>
      <c r="K15" s="324"/>
      <c r="L15" s="325"/>
      <c r="M15" s="326" t="s">
        <v>371</v>
      </c>
      <c r="N15" s="327" t="s">
        <v>389</v>
      </c>
      <c r="O15" s="328">
        <v>44419</v>
      </c>
      <c r="P15" s="328">
        <v>44419</v>
      </c>
      <c r="Q15" s="329"/>
      <c r="R15" s="330"/>
      <c r="S15" s="330"/>
      <c r="T15" s="331"/>
      <c r="U15" s="332"/>
      <c r="V15" s="332"/>
      <c r="W15" s="333"/>
      <c r="X15" s="334"/>
      <c r="Y15" s="321"/>
      <c r="Z15" s="330"/>
      <c r="AA15" s="330"/>
      <c r="AB15" s="11"/>
      <c r="AC15" s="217"/>
      <c r="AD15" s="218"/>
      <c r="AE15" s="219"/>
      <c r="AF15" s="11"/>
      <c r="AG15" s="11"/>
      <c r="AH15" s="11"/>
      <c r="AI15" s="11"/>
      <c r="AJ15" s="11"/>
      <c r="AK15" s="11"/>
      <c r="AL15" s="11"/>
      <c r="AM15" s="11"/>
      <c r="AN15" s="11"/>
      <c r="AO15" s="11"/>
      <c r="AP15" s="11"/>
      <c r="AQ15" s="11"/>
      <c r="AR15" s="11"/>
      <c r="AS15" s="220"/>
    </row>
    <row r="16" spans="1:45" s="221" customFormat="1" ht="18" customHeight="1">
      <c r="A16" s="215"/>
      <c r="B16" s="364"/>
      <c r="C16" s="313"/>
      <c r="D16" s="373"/>
      <c r="E16" s="357"/>
      <c r="F16" s="349"/>
      <c r="G16" s="350"/>
      <c r="H16" s="322"/>
      <c r="I16" s="323"/>
      <c r="K16" s="324"/>
      <c r="L16" s="325"/>
      <c r="M16" s="326" t="s">
        <v>371</v>
      </c>
      <c r="N16" s="327" t="s">
        <v>389</v>
      </c>
      <c r="O16" s="328">
        <v>44419</v>
      </c>
      <c r="P16" s="328">
        <v>44419</v>
      </c>
      <c r="Q16" s="329"/>
      <c r="R16" s="330"/>
      <c r="S16" s="330"/>
      <c r="T16" s="331"/>
      <c r="U16" s="332"/>
      <c r="V16" s="332"/>
      <c r="W16" s="333"/>
      <c r="X16" s="334"/>
      <c r="Y16" s="321"/>
      <c r="Z16" s="330"/>
      <c r="AA16" s="330"/>
      <c r="AB16" s="11"/>
      <c r="AC16" s="217"/>
      <c r="AD16" s="218"/>
      <c r="AE16" s="219"/>
      <c r="AF16" s="11"/>
      <c r="AG16" s="11"/>
      <c r="AH16" s="11"/>
      <c r="AI16" s="11"/>
      <c r="AJ16" s="11"/>
      <c r="AK16" s="11"/>
      <c r="AL16" s="11"/>
      <c r="AM16" s="11"/>
      <c r="AN16" s="11"/>
      <c r="AO16" s="11"/>
      <c r="AP16" s="11"/>
      <c r="AQ16" s="11"/>
      <c r="AR16" s="11"/>
      <c r="AS16" s="220"/>
    </row>
    <row r="17" spans="1:45" s="221" customFormat="1" ht="21" customHeight="1">
      <c r="A17" s="215"/>
      <c r="B17" s="365"/>
      <c r="C17" s="313"/>
      <c r="D17" s="373"/>
      <c r="E17" s="357"/>
      <c r="F17" s="349"/>
      <c r="G17" s="350"/>
      <c r="H17" s="322"/>
      <c r="I17" s="323"/>
      <c r="J17" s="321"/>
      <c r="K17" s="324"/>
      <c r="L17" s="325"/>
      <c r="M17" s="326"/>
      <c r="N17" s="327"/>
      <c r="O17" s="328"/>
      <c r="P17" s="328"/>
      <c r="Q17" s="329"/>
      <c r="R17" s="330"/>
      <c r="S17" s="330"/>
      <c r="T17" s="331"/>
      <c r="U17" s="332"/>
      <c r="V17" s="332"/>
      <c r="W17" s="333"/>
      <c r="X17" s="334"/>
      <c r="Y17" s="321"/>
      <c r="Z17" s="330"/>
      <c r="AA17" s="330"/>
      <c r="AB17" s="11"/>
      <c r="AC17" s="217"/>
      <c r="AD17" s="218"/>
      <c r="AE17" s="219"/>
      <c r="AF17" s="11"/>
      <c r="AG17" s="11"/>
      <c r="AH17" s="11"/>
      <c r="AI17" s="11"/>
      <c r="AJ17" s="11"/>
      <c r="AK17" s="11"/>
      <c r="AL17" s="11"/>
      <c r="AM17" s="11"/>
      <c r="AN17" s="11"/>
      <c r="AO17" s="11"/>
      <c r="AP17" s="11"/>
      <c r="AQ17" s="11"/>
      <c r="AR17" s="11"/>
      <c r="AS17" s="220"/>
    </row>
    <row r="18" spans="1:45" s="221" customFormat="1" ht="20" customHeight="1">
      <c r="A18" s="215"/>
      <c r="B18" s="366" t="str">
        <f>IF(D18="","",ヘッダ!$C$5)</f>
        <v>Social Login</v>
      </c>
      <c r="C18" s="223"/>
      <c r="D18" s="374" t="s">
        <v>360</v>
      </c>
      <c r="E18" s="358"/>
      <c r="F18" s="349"/>
      <c r="G18" s="350"/>
      <c r="H18" s="322"/>
      <c r="I18" s="360" t="s">
        <v>391</v>
      </c>
      <c r="J18" s="337" t="s">
        <v>393</v>
      </c>
      <c r="K18" s="336"/>
      <c r="L18" s="337"/>
      <c r="M18" s="338"/>
      <c r="N18" s="327"/>
      <c r="O18" s="328"/>
      <c r="P18" s="328"/>
      <c r="Q18" s="327"/>
      <c r="R18" s="328"/>
      <c r="S18" s="328"/>
      <c r="T18" s="339"/>
      <c r="U18" s="340"/>
      <c r="V18" s="340"/>
      <c r="W18" s="341"/>
      <c r="X18" s="342"/>
      <c r="Y18" s="320"/>
      <c r="Z18" s="328"/>
      <c r="AA18" s="328"/>
      <c r="AB18" s="11"/>
      <c r="AC18" s="217"/>
      <c r="AD18" s="218"/>
      <c r="AE18" s="219"/>
      <c r="AF18" s="11"/>
      <c r="AG18" s="11"/>
      <c r="AH18" s="11"/>
      <c r="AI18" s="11"/>
      <c r="AJ18" s="11"/>
      <c r="AK18" s="11"/>
      <c r="AL18" s="11"/>
      <c r="AM18" s="11"/>
      <c r="AN18" s="11"/>
      <c r="AO18" s="11"/>
      <c r="AP18" s="11"/>
      <c r="AQ18" s="11"/>
      <c r="AR18" s="11"/>
      <c r="AS18" s="225" t="str">
        <f>ヘッダ!$G$5</f>
        <v>02_単体テスト</v>
      </c>
    </row>
    <row r="19" spans="1:45" s="221" customFormat="1" ht="17" customHeight="1">
      <c r="A19" s="215"/>
      <c r="B19" s="367"/>
      <c r="C19" s="223"/>
      <c r="D19" s="374"/>
      <c r="E19" s="358"/>
      <c r="F19" s="349"/>
      <c r="G19" s="350"/>
      <c r="H19" s="322"/>
      <c r="I19" s="361"/>
      <c r="J19" s="337" t="s">
        <v>394</v>
      </c>
      <c r="K19" s="336"/>
      <c r="L19" s="337"/>
      <c r="M19" s="338"/>
      <c r="N19" s="327"/>
      <c r="O19" s="328"/>
      <c r="P19" s="328"/>
      <c r="Q19" s="327"/>
      <c r="R19" s="328"/>
      <c r="S19" s="328"/>
      <c r="T19" s="339"/>
      <c r="U19" s="340"/>
      <c r="V19" s="340"/>
      <c r="W19" s="341"/>
      <c r="X19" s="342"/>
      <c r="Y19" s="320"/>
      <c r="Z19" s="328"/>
      <c r="AA19" s="328"/>
      <c r="AB19" s="11"/>
      <c r="AC19" s="217"/>
      <c r="AD19" s="218"/>
      <c r="AE19" s="219"/>
      <c r="AF19" s="11"/>
      <c r="AG19" s="11"/>
      <c r="AH19" s="11"/>
      <c r="AI19" s="11"/>
      <c r="AJ19" s="11"/>
      <c r="AK19" s="11"/>
      <c r="AL19" s="11"/>
      <c r="AM19" s="11"/>
      <c r="AN19" s="11"/>
      <c r="AO19" s="11"/>
      <c r="AP19" s="11"/>
      <c r="AQ19" s="11"/>
      <c r="AR19" s="11"/>
      <c r="AS19" s="225" t="str">
        <f>ヘッダ!$G$5</f>
        <v>02_単体テスト</v>
      </c>
    </row>
    <row r="20" spans="1:45" s="221" customFormat="1" ht="19" customHeight="1">
      <c r="A20" s="215"/>
      <c r="B20" s="367"/>
      <c r="C20" s="223"/>
      <c r="D20" s="374"/>
      <c r="E20" s="358"/>
      <c r="F20" s="349"/>
      <c r="G20" s="350"/>
      <c r="H20" s="322"/>
      <c r="I20" s="361"/>
      <c r="J20" s="337" t="s">
        <v>395</v>
      </c>
      <c r="K20" s="336"/>
      <c r="L20" s="337"/>
      <c r="M20" s="343"/>
      <c r="N20" s="327"/>
      <c r="O20" s="328"/>
      <c r="P20" s="328"/>
      <c r="Q20" s="327"/>
      <c r="R20" s="328"/>
      <c r="S20" s="328"/>
      <c r="T20" s="339"/>
      <c r="U20" s="340"/>
      <c r="V20" s="340"/>
      <c r="W20" s="344"/>
      <c r="X20" s="342"/>
      <c r="Y20" s="320"/>
      <c r="Z20" s="328"/>
      <c r="AA20" s="328"/>
      <c r="AB20" s="11"/>
      <c r="AC20" s="217"/>
      <c r="AD20" s="218"/>
      <c r="AE20" s="219"/>
      <c r="AF20" s="11"/>
      <c r="AG20" s="11"/>
      <c r="AH20" s="11"/>
      <c r="AI20" s="11"/>
      <c r="AJ20" s="11"/>
      <c r="AK20" s="11"/>
      <c r="AL20" s="11"/>
      <c r="AM20" s="11"/>
      <c r="AN20" s="11"/>
      <c r="AO20" s="11"/>
      <c r="AP20" s="11"/>
      <c r="AQ20" s="11"/>
      <c r="AR20" s="11"/>
      <c r="AS20" s="225"/>
    </row>
    <row r="21" spans="1:45" s="221" customFormat="1">
      <c r="A21" s="215"/>
      <c r="B21" s="367"/>
      <c r="C21" s="223"/>
      <c r="D21" s="374"/>
      <c r="E21" s="358"/>
      <c r="F21" s="349"/>
      <c r="G21" s="350"/>
      <c r="H21" s="322"/>
      <c r="I21" s="361"/>
      <c r="J21" s="337" t="s">
        <v>396</v>
      </c>
      <c r="K21" s="336"/>
      <c r="L21" s="337"/>
      <c r="M21" s="338"/>
      <c r="N21" s="327"/>
      <c r="O21" s="328"/>
      <c r="P21" s="328"/>
      <c r="Q21" s="327"/>
      <c r="R21" s="328"/>
      <c r="S21" s="328"/>
      <c r="T21" s="339"/>
      <c r="U21" s="340"/>
      <c r="V21" s="340"/>
      <c r="W21" s="341"/>
      <c r="X21" s="342"/>
      <c r="Y21" s="320"/>
      <c r="Z21" s="328"/>
      <c r="AA21" s="328"/>
      <c r="AB21" s="11"/>
      <c r="AC21" s="217"/>
      <c r="AD21" s="218"/>
      <c r="AE21" s="219"/>
      <c r="AF21" s="11"/>
      <c r="AG21" s="11"/>
      <c r="AH21" s="11"/>
      <c r="AI21" s="11"/>
      <c r="AJ21" s="11"/>
      <c r="AK21" s="11"/>
      <c r="AL21" s="11"/>
      <c r="AM21" s="11"/>
      <c r="AN21" s="11"/>
      <c r="AO21" s="11"/>
      <c r="AP21" s="11"/>
      <c r="AQ21" s="11"/>
      <c r="AR21" s="11"/>
      <c r="AS21" s="225"/>
    </row>
    <row r="22" spans="1:45" s="221" customFormat="1">
      <c r="A22" s="215"/>
      <c r="B22" s="367"/>
      <c r="C22" s="223"/>
      <c r="D22" s="374"/>
      <c r="E22" s="358"/>
      <c r="F22" s="349"/>
      <c r="G22" s="350"/>
      <c r="H22" s="322"/>
      <c r="I22" s="361"/>
      <c r="J22" s="337" t="s">
        <v>397</v>
      </c>
      <c r="K22" s="336"/>
      <c r="L22" s="337"/>
      <c r="M22" s="338"/>
      <c r="N22" s="327"/>
      <c r="O22" s="328"/>
      <c r="P22" s="328"/>
      <c r="Q22" s="327"/>
      <c r="R22" s="328"/>
      <c r="S22" s="328"/>
      <c r="T22" s="339"/>
      <c r="U22" s="340"/>
      <c r="V22" s="340"/>
      <c r="W22" s="341"/>
      <c r="X22" s="342"/>
      <c r="Y22" s="320"/>
      <c r="Z22" s="328"/>
      <c r="AA22" s="328"/>
      <c r="AB22" s="11"/>
      <c r="AC22" s="217"/>
      <c r="AD22" s="218"/>
      <c r="AE22" s="219"/>
      <c r="AF22" s="11"/>
      <c r="AG22" s="11"/>
      <c r="AH22" s="11"/>
      <c r="AI22" s="11"/>
      <c r="AJ22" s="11"/>
      <c r="AK22" s="11"/>
      <c r="AL22" s="11"/>
      <c r="AM22" s="11"/>
      <c r="AN22" s="11"/>
      <c r="AO22" s="11"/>
      <c r="AP22" s="11"/>
      <c r="AQ22" s="11"/>
      <c r="AR22" s="11"/>
      <c r="AS22" s="225"/>
    </row>
    <row r="23" spans="1:45" s="221" customFormat="1">
      <c r="A23" s="215"/>
      <c r="B23" s="367"/>
      <c r="C23" s="223"/>
      <c r="D23" s="374"/>
      <c r="E23" s="358"/>
      <c r="F23" s="349"/>
      <c r="G23" s="350"/>
      <c r="H23" s="322"/>
      <c r="I23" s="361"/>
      <c r="J23" s="337" t="s">
        <v>399</v>
      </c>
      <c r="K23" s="336"/>
      <c r="L23" s="337"/>
      <c r="M23" s="343"/>
      <c r="N23" s="327"/>
      <c r="O23" s="328"/>
      <c r="P23" s="328"/>
      <c r="Q23" s="327"/>
      <c r="R23" s="328"/>
      <c r="S23" s="328"/>
      <c r="T23" s="339"/>
      <c r="U23" s="340"/>
      <c r="V23" s="340"/>
      <c r="W23" s="344"/>
      <c r="X23" s="342"/>
      <c r="Y23" s="320"/>
      <c r="Z23" s="328"/>
      <c r="AA23" s="328"/>
      <c r="AB23" s="11"/>
      <c r="AC23" s="217"/>
      <c r="AD23" s="218"/>
      <c r="AE23" s="219"/>
      <c r="AF23" s="11"/>
      <c r="AG23" s="11"/>
      <c r="AH23" s="11"/>
      <c r="AI23" s="11"/>
      <c r="AJ23" s="11"/>
      <c r="AK23" s="11"/>
      <c r="AL23" s="11"/>
      <c r="AM23" s="11"/>
      <c r="AN23" s="11"/>
      <c r="AO23" s="11"/>
      <c r="AP23" s="11"/>
      <c r="AQ23" s="11"/>
      <c r="AR23" s="11"/>
      <c r="AS23" s="225"/>
    </row>
    <row r="24" spans="1:45" s="221" customFormat="1">
      <c r="A24" s="215"/>
      <c r="B24" s="368"/>
      <c r="C24" s="223"/>
      <c r="D24" s="374"/>
      <c r="E24" s="358"/>
      <c r="F24" s="349"/>
      <c r="G24" s="350"/>
      <c r="H24" s="322"/>
      <c r="I24" s="362"/>
      <c r="J24" s="337" t="s">
        <v>398</v>
      </c>
      <c r="K24" s="336"/>
      <c r="L24" s="337"/>
      <c r="M24" s="338"/>
      <c r="N24" s="327"/>
      <c r="O24" s="328"/>
      <c r="P24" s="328"/>
      <c r="Q24" s="327"/>
      <c r="R24" s="328"/>
      <c r="S24" s="328"/>
      <c r="T24" s="339"/>
      <c r="U24" s="340"/>
      <c r="V24" s="340"/>
      <c r="W24" s="341"/>
      <c r="X24" s="342"/>
      <c r="Y24" s="320"/>
      <c r="Z24" s="328"/>
      <c r="AA24" s="328"/>
      <c r="AB24" s="11"/>
      <c r="AC24" s="217"/>
      <c r="AD24" s="218"/>
      <c r="AE24" s="219"/>
      <c r="AF24" s="11"/>
      <c r="AG24" s="11"/>
      <c r="AH24" s="11"/>
      <c r="AI24" s="11"/>
      <c r="AJ24" s="11"/>
      <c r="AK24" s="11"/>
      <c r="AL24" s="11"/>
      <c r="AM24" s="11"/>
      <c r="AN24" s="11"/>
      <c r="AO24" s="11"/>
      <c r="AP24" s="11"/>
      <c r="AQ24" s="11"/>
      <c r="AR24" s="11"/>
      <c r="AS24" s="225"/>
    </row>
    <row r="25" spans="1:45" s="221" customFormat="1" ht="25" customHeight="1">
      <c r="A25" s="215"/>
      <c r="B25" s="366" t="str">
        <f>IF(D25="","",ヘッダ!$C$5)</f>
        <v>Social Login</v>
      </c>
      <c r="C25" s="223"/>
      <c r="D25" s="373" t="s">
        <v>406</v>
      </c>
      <c r="E25" s="358"/>
      <c r="F25" s="349"/>
      <c r="G25" s="350"/>
      <c r="H25" s="322"/>
      <c r="I25" s="323" t="s">
        <v>401</v>
      </c>
      <c r="J25" s="337" t="s">
        <v>393</v>
      </c>
      <c r="K25" s="336"/>
      <c r="L25" s="337"/>
      <c r="M25" s="338"/>
      <c r="N25" s="327"/>
      <c r="O25" s="328"/>
      <c r="P25" s="328"/>
      <c r="Q25" s="327"/>
      <c r="R25" s="328"/>
      <c r="S25" s="328"/>
      <c r="T25" s="339"/>
      <c r="U25" s="340"/>
      <c r="V25" s="340"/>
      <c r="W25" s="341"/>
      <c r="X25" s="342"/>
      <c r="Y25" s="320"/>
      <c r="Z25" s="328"/>
      <c r="AA25" s="328"/>
      <c r="AB25" s="11"/>
      <c r="AC25" s="217"/>
      <c r="AD25" s="218"/>
      <c r="AE25" s="219"/>
      <c r="AF25" s="11"/>
      <c r="AG25" s="11"/>
      <c r="AH25" s="11"/>
      <c r="AI25" s="11"/>
      <c r="AJ25" s="11"/>
      <c r="AK25" s="11"/>
      <c r="AL25" s="11"/>
      <c r="AM25" s="11"/>
      <c r="AN25" s="11"/>
      <c r="AO25" s="11"/>
      <c r="AP25" s="11"/>
      <c r="AQ25" s="11"/>
      <c r="AR25" s="11"/>
      <c r="AS25" s="225"/>
    </row>
    <row r="26" spans="1:45" s="221" customFormat="1" ht="23" customHeight="1">
      <c r="A26" s="215"/>
      <c r="B26" s="367"/>
      <c r="C26" s="223"/>
      <c r="D26" s="373"/>
      <c r="E26" s="358"/>
      <c r="F26" s="349"/>
      <c r="G26" s="350"/>
      <c r="H26" s="322"/>
      <c r="I26" s="323"/>
      <c r="J26" s="337" t="s">
        <v>394</v>
      </c>
      <c r="K26" s="336"/>
      <c r="L26" s="337"/>
      <c r="M26" s="338"/>
      <c r="N26" s="327"/>
      <c r="O26" s="328"/>
      <c r="P26" s="328"/>
      <c r="Q26" s="327"/>
      <c r="R26" s="328"/>
      <c r="S26" s="328"/>
      <c r="T26" s="339"/>
      <c r="U26" s="340"/>
      <c r="V26" s="340"/>
      <c r="W26" s="341"/>
      <c r="X26" s="342"/>
      <c r="Y26" s="320"/>
      <c r="Z26" s="328"/>
      <c r="AA26" s="328"/>
      <c r="AB26" s="11"/>
      <c r="AC26" s="217"/>
      <c r="AD26" s="218"/>
      <c r="AE26" s="219"/>
      <c r="AF26" s="11"/>
      <c r="AG26" s="11"/>
      <c r="AH26" s="11"/>
      <c r="AI26" s="11"/>
      <c r="AJ26" s="11"/>
      <c r="AK26" s="11"/>
      <c r="AL26" s="11"/>
      <c r="AM26" s="11"/>
      <c r="AN26" s="11"/>
      <c r="AO26" s="11"/>
      <c r="AP26" s="11"/>
      <c r="AQ26" s="11"/>
      <c r="AR26" s="11"/>
      <c r="AS26" s="225"/>
    </row>
    <row r="27" spans="1:45" s="221" customFormat="1" ht="24" customHeight="1">
      <c r="A27" s="215"/>
      <c r="B27" s="367"/>
      <c r="C27" s="223"/>
      <c r="D27" s="373"/>
      <c r="E27" s="358"/>
      <c r="F27" s="349"/>
      <c r="G27" s="350"/>
      <c r="H27" s="322"/>
      <c r="I27" s="323"/>
      <c r="J27" s="337" t="s">
        <v>395</v>
      </c>
      <c r="K27" s="336"/>
      <c r="L27" s="337"/>
      <c r="M27" s="338"/>
      <c r="N27" s="327"/>
      <c r="O27" s="328"/>
      <c r="P27" s="328"/>
      <c r="Q27" s="327"/>
      <c r="R27" s="328"/>
      <c r="S27" s="328"/>
      <c r="T27" s="339"/>
      <c r="U27" s="340"/>
      <c r="V27" s="340"/>
      <c r="W27" s="341"/>
      <c r="X27" s="342"/>
      <c r="Y27" s="320"/>
      <c r="Z27" s="328"/>
      <c r="AA27" s="328"/>
      <c r="AB27" s="11"/>
      <c r="AC27" s="217"/>
      <c r="AD27" s="218"/>
      <c r="AE27" s="219"/>
      <c r="AF27" s="11"/>
      <c r="AG27" s="11"/>
      <c r="AH27" s="11"/>
      <c r="AI27" s="11"/>
      <c r="AJ27" s="11"/>
      <c r="AK27" s="11"/>
      <c r="AL27" s="11"/>
      <c r="AM27" s="11"/>
      <c r="AN27" s="11"/>
      <c r="AO27" s="11"/>
      <c r="AP27" s="11"/>
      <c r="AQ27" s="11"/>
      <c r="AR27" s="11"/>
      <c r="AS27" s="225"/>
    </row>
    <row r="28" spans="1:45" s="221" customFormat="1" ht="25" customHeight="1">
      <c r="A28" s="215"/>
      <c r="B28" s="367"/>
      <c r="C28" s="223"/>
      <c r="D28" s="373"/>
      <c r="E28" s="358"/>
      <c r="F28" s="349"/>
      <c r="G28" s="350"/>
      <c r="H28" s="322"/>
      <c r="I28" s="323"/>
      <c r="J28" s="337" t="s">
        <v>396</v>
      </c>
      <c r="K28" s="336"/>
      <c r="L28" s="337"/>
      <c r="M28" s="338"/>
      <c r="N28" s="327"/>
      <c r="O28" s="328"/>
      <c r="P28" s="328"/>
      <c r="Q28" s="327"/>
      <c r="R28" s="328"/>
      <c r="S28" s="328"/>
      <c r="T28" s="339"/>
      <c r="U28" s="340"/>
      <c r="V28" s="340"/>
      <c r="W28" s="341"/>
      <c r="X28" s="342"/>
      <c r="Y28" s="320"/>
      <c r="Z28" s="328"/>
      <c r="AA28" s="328"/>
      <c r="AB28" s="11"/>
      <c r="AC28" s="217"/>
      <c r="AD28" s="218"/>
      <c r="AE28" s="219"/>
      <c r="AF28" s="11"/>
      <c r="AG28" s="11"/>
      <c r="AH28" s="11"/>
      <c r="AI28" s="11"/>
      <c r="AJ28" s="11"/>
      <c r="AK28" s="11"/>
      <c r="AL28" s="11"/>
      <c r="AM28" s="11"/>
      <c r="AN28" s="11"/>
      <c r="AO28" s="11"/>
      <c r="AP28" s="11"/>
      <c r="AQ28" s="11"/>
      <c r="AR28" s="11"/>
      <c r="AS28" s="225"/>
    </row>
    <row r="29" spans="1:45" s="221" customFormat="1" ht="25" customHeight="1">
      <c r="A29" s="215"/>
      <c r="B29" s="367"/>
      <c r="C29" s="223"/>
      <c r="D29" s="373"/>
      <c r="E29" s="358"/>
      <c r="F29" s="349"/>
      <c r="G29" s="350"/>
      <c r="H29" s="322"/>
      <c r="I29" s="323"/>
      <c r="J29" s="337" t="s">
        <v>397</v>
      </c>
      <c r="K29" s="336"/>
      <c r="L29" s="337"/>
      <c r="M29" s="338"/>
      <c r="N29" s="327"/>
      <c r="O29" s="328"/>
      <c r="P29" s="328"/>
      <c r="Q29" s="327"/>
      <c r="R29" s="328"/>
      <c r="S29" s="328"/>
      <c r="T29" s="339"/>
      <c r="U29" s="340"/>
      <c r="V29" s="340"/>
      <c r="W29" s="341"/>
      <c r="X29" s="342"/>
      <c r="Y29" s="320"/>
      <c r="Z29" s="328"/>
      <c r="AA29" s="328"/>
      <c r="AB29" s="11"/>
      <c r="AC29" s="217"/>
      <c r="AD29" s="218"/>
      <c r="AE29" s="219"/>
      <c r="AF29" s="11"/>
      <c r="AG29" s="11"/>
      <c r="AH29" s="11"/>
      <c r="AI29" s="11"/>
      <c r="AJ29" s="11"/>
      <c r="AK29" s="11"/>
      <c r="AL29" s="11"/>
      <c r="AM29" s="11"/>
      <c r="AN29" s="11"/>
      <c r="AO29" s="11"/>
      <c r="AP29" s="11"/>
      <c r="AQ29" s="11"/>
      <c r="AR29" s="11"/>
      <c r="AS29" s="225"/>
    </row>
    <row r="30" spans="1:45" s="221" customFormat="1" ht="22" customHeight="1">
      <c r="A30" s="215"/>
      <c r="B30" s="367"/>
      <c r="C30" s="223"/>
      <c r="D30" s="373"/>
      <c r="E30" s="358"/>
      <c r="F30" s="349"/>
      <c r="G30" s="350"/>
      <c r="H30" s="322"/>
      <c r="I30" s="323"/>
      <c r="J30" s="337" t="s">
        <v>399</v>
      </c>
      <c r="K30" s="336"/>
      <c r="L30" s="337"/>
      <c r="M30" s="338"/>
      <c r="N30" s="327"/>
      <c r="O30" s="328"/>
      <c r="P30" s="328"/>
      <c r="Q30" s="327"/>
      <c r="R30" s="328"/>
      <c r="S30" s="328"/>
      <c r="T30" s="339"/>
      <c r="U30" s="340"/>
      <c r="V30" s="340"/>
      <c r="W30" s="341"/>
      <c r="X30" s="342"/>
      <c r="Y30" s="320"/>
      <c r="Z30" s="328"/>
      <c r="AA30" s="328"/>
      <c r="AB30" s="11"/>
      <c r="AC30" s="217"/>
      <c r="AD30" s="218"/>
      <c r="AE30" s="219"/>
      <c r="AF30" s="11"/>
      <c r="AG30" s="11"/>
      <c r="AH30" s="11"/>
      <c r="AI30" s="11"/>
      <c r="AJ30" s="11"/>
      <c r="AK30" s="11"/>
      <c r="AL30" s="11"/>
      <c r="AM30" s="11"/>
      <c r="AN30" s="11"/>
      <c r="AO30" s="11"/>
      <c r="AP30" s="11"/>
      <c r="AQ30" s="11"/>
      <c r="AR30" s="11"/>
      <c r="AS30" s="225"/>
    </row>
    <row r="31" spans="1:45" s="221" customFormat="1" ht="22" customHeight="1">
      <c r="A31" s="215"/>
      <c r="B31" s="368"/>
      <c r="C31" s="223"/>
      <c r="D31" s="373"/>
      <c r="E31" s="358"/>
      <c r="F31" s="349"/>
      <c r="G31" s="350"/>
      <c r="H31" s="322"/>
      <c r="I31" s="323"/>
      <c r="J31" s="337" t="s">
        <v>398</v>
      </c>
      <c r="K31" s="336"/>
      <c r="L31" s="337"/>
      <c r="M31" s="338"/>
      <c r="N31" s="327"/>
      <c r="O31" s="328"/>
      <c r="P31" s="328"/>
      <c r="Q31" s="327"/>
      <c r="R31" s="328"/>
      <c r="S31" s="328"/>
      <c r="T31" s="339"/>
      <c r="U31" s="340"/>
      <c r="V31" s="340"/>
      <c r="W31" s="341"/>
      <c r="X31" s="342"/>
      <c r="Y31" s="320"/>
      <c r="Z31" s="328"/>
      <c r="AA31" s="328"/>
      <c r="AB31" s="11"/>
      <c r="AC31" s="217"/>
      <c r="AD31" s="218"/>
      <c r="AE31" s="219"/>
      <c r="AF31" s="11"/>
      <c r="AG31" s="11"/>
      <c r="AH31" s="11"/>
      <c r="AI31" s="11"/>
      <c r="AJ31" s="11"/>
      <c r="AK31" s="11"/>
      <c r="AL31" s="11"/>
      <c r="AM31" s="11"/>
      <c r="AN31" s="11"/>
      <c r="AO31" s="11"/>
      <c r="AP31" s="11"/>
      <c r="AQ31" s="11"/>
      <c r="AR31" s="11"/>
      <c r="AS31" s="225"/>
    </row>
    <row r="32" spans="1:45" s="221" customFormat="1" ht="22" customHeight="1">
      <c r="A32" s="215"/>
      <c r="B32" s="366" t="s">
        <v>407</v>
      </c>
      <c r="C32" s="223"/>
      <c r="D32" s="373" t="s">
        <v>369</v>
      </c>
      <c r="E32" s="358"/>
      <c r="F32" s="349"/>
      <c r="G32" s="350"/>
      <c r="H32" s="322"/>
      <c r="I32" s="323" t="s">
        <v>402</v>
      </c>
      <c r="J32" s="337" t="s">
        <v>393</v>
      </c>
      <c r="K32" s="336"/>
      <c r="L32" s="337"/>
      <c r="M32" s="338"/>
      <c r="N32" s="327"/>
      <c r="O32" s="328"/>
      <c r="P32" s="328"/>
      <c r="Q32" s="327"/>
      <c r="R32" s="328"/>
      <c r="S32" s="328"/>
      <c r="T32" s="339"/>
      <c r="U32" s="340"/>
      <c r="V32" s="340"/>
      <c r="W32" s="341"/>
      <c r="X32" s="342"/>
      <c r="Y32" s="320"/>
      <c r="Z32" s="328"/>
      <c r="AA32" s="328"/>
      <c r="AB32" s="11"/>
      <c r="AC32" s="217"/>
      <c r="AD32" s="218"/>
      <c r="AE32" s="219"/>
      <c r="AF32" s="11"/>
      <c r="AG32" s="11"/>
      <c r="AH32" s="11"/>
      <c r="AI32" s="11"/>
      <c r="AJ32" s="11"/>
      <c r="AK32" s="11"/>
      <c r="AL32" s="11"/>
      <c r="AM32" s="11"/>
      <c r="AN32" s="11"/>
      <c r="AO32" s="11"/>
      <c r="AP32" s="11"/>
      <c r="AQ32" s="11"/>
      <c r="AR32" s="11"/>
      <c r="AS32" s="225"/>
    </row>
    <row r="33" spans="1:45" s="221" customFormat="1" ht="22" customHeight="1">
      <c r="A33" s="215"/>
      <c r="B33" s="367"/>
      <c r="C33" s="223"/>
      <c r="D33" s="373"/>
      <c r="E33" s="358"/>
      <c r="F33" s="349"/>
      <c r="G33" s="350"/>
      <c r="H33" s="322"/>
      <c r="I33" s="323"/>
      <c r="J33" s="337" t="s">
        <v>394</v>
      </c>
      <c r="K33" s="336"/>
      <c r="L33" s="337"/>
      <c r="M33" s="338"/>
      <c r="N33" s="327"/>
      <c r="O33" s="328"/>
      <c r="P33" s="328"/>
      <c r="Q33" s="327"/>
      <c r="R33" s="328"/>
      <c r="S33" s="328"/>
      <c r="T33" s="339"/>
      <c r="U33" s="340"/>
      <c r="V33" s="340"/>
      <c r="W33" s="341"/>
      <c r="X33" s="342"/>
      <c r="Y33" s="320"/>
      <c r="Z33" s="328"/>
      <c r="AA33" s="328"/>
      <c r="AB33" s="11"/>
      <c r="AC33" s="217"/>
      <c r="AD33" s="218"/>
      <c r="AE33" s="219"/>
      <c r="AF33" s="11"/>
      <c r="AG33" s="11"/>
      <c r="AH33" s="11"/>
      <c r="AI33" s="11"/>
      <c r="AJ33" s="11"/>
      <c r="AK33" s="11"/>
      <c r="AL33" s="11"/>
      <c r="AM33" s="11"/>
      <c r="AN33" s="11"/>
      <c r="AO33" s="11"/>
      <c r="AP33" s="11"/>
      <c r="AQ33" s="11"/>
      <c r="AR33" s="11"/>
      <c r="AS33" s="225"/>
    </row>
    <row r="34" spans="1:45" s="221" customFormat="1" ht="22" customHeight="1">
      <c r="A34" s="215"/>
      <c r="B34" s="367"/>
      <c r="C34" s="223"/>
      <c r="D34" s="373"/>
      <c r="E34" s="358"/>
      <c r="F34" s="349"/>
      <c r="G34" s="350"/>
      <c r="H34" s="322"/>
      <c r="I34" s="323"/>
      <c r="J34" s="337" t="s">
        <v>395</v>
      </c>
      <c r="K34" s="336"/>
      <c r="L34" s="337"/>
      <c r="M34" s="338"/>
      <c r="N34" s="327"/>
      <c r="O34" s="328"/>
      <c r="P34" s="328"/>
      <c r="Q34" s="327"/>
      <c r="R34" s="328"/>
      <c r="S34" s="328"/>
      <c r="T34" s="339"/>
      <c r="U34" s="340"/>
      <c r="V34" s="340"/>
      <c r="W34" s="341"/>
      <c r="X34" s="342"/>
      <c r="Y34" s="320"/>
      <c r="Z34" s="328"/>
      <c r="AA34" s="328"/>
      <c r="AB34" s="11"/>
      <c r="AC34" s="217"/>
      <c r="AD34" s="218"/>
      <c r="AE34" s="219"/>
      <c r="AF34" s="11"/>
      <c r="AG34" s="11"/>
      <c r="AH34" s="11"/>
      <c r="AI34" s="11"/>
      <c r="AJ34" s="11"/>
      <c r="AK34" s="11"/>
      <c r="AL34" s="11"/>
      <c r="AM34" s="11"/>
      <c r="AN34" s="11"/>
      <c r="AO34" s="11"/>
      <c r="AP34" s="11"/>
      <c r="AQ34" s="11"/>
      <c r="AR34" s="11"/>
      <c r="AS34" s="225"/>
    </row>
    <row r="35" spans="1:45" s="221" customFormat="1" ht="22" customHeight="1">
      <c r="A35" s="215"/>
      <c r="B35" s="367"/>
      <c r="C35" s="223"/>
      <c r="D35" s="373"/>
      <c r="E35" s="358"/>
      <c r="F35" s="349"/>
      <c r="G35" s="350"/>
      <c r="H35" s="322"/>
      <c r="I35" s="323"/>
      <c r="J35" s="337" t="s">
        <v>396</v>
      </c>
      <c r="K35" s="336"/>
      <c r="L35" s="337"/>
      <c r="M35" s="338"/>
      <c r="N35" s="327"/>
      <c r="O35" s="328"/>
      <c r="P35" s="328"/>
      <c r="Q35" s="327"/>
      <c r="R35" s="328"/>
      <c r="S35" s="328"/>
      <c r="T35" s="339"/>
      <c r="U35" s="340"/>
      <c r="V35" s="340"/>
      <c r="W35" s="341"/>
      <c r="X35" s="342"/>
      <c r="Y35" s="320"/>
      <c r="Z35" s="328"/>
      <c r="AA35" s="328"/>
      <c r="AB35" s="11"/>
      <c r="AC35" s="217"/>
      <c r="AD35" s="218"/>
      <c r="AE35" s="219"/>
      <c r="AF35" s="11"/>
      <c r="AG35" s="11"/>
      <c r="AH35" s="11"/>
      <c r="AI35" s="11"/>
      <c r="AJ35" s="11"/>
      <c r="AK35" s="11"/>
      <c r="AL35" s="11"/>
      <c r="AM35" s="11"/>
      <c r="AN35" s="11"/>
      <c r="AO35" s="11"/>
      <c r="AP35" s="11"/>
      <c r="AQ35" s="11"/>
      <c r="AR35" s="11"/>
      <c r="AS35" s="225"/>
    </row>
    <row r="36" spans="1:45" s="221" customFormat="1" ht="22" customHeight="1">
      <c r="A36" s="215"/>
      <c r="B36" s="367"/>
      <c r="C36" s="223"/>
      <c r="D36" s="373"/>
      <c r="E36" s="358"/>
      <c r="F36" s="349"/>
      <c r="G36" s="350"/>
      <c r="H36" s="322"/>
      <c r="I36" s="323"/>
      <c r="J36" s="337" t="s">
        <v>397</v>
      </c>
      <c r="K36" s="336"/>
      <c r="L36" s="337"/>
      <c r="M36" s="338"/>
      <c r="N36" s="327"/>
      <c r="O36" s="328"/>
      <c r="P36" s="328"/>
      <c r="Q36" s="327"/>
      <c r="R36" s="328"/>
      <c r="S36" s="328"/>
      <c r="T36" s="339"/>
      <c r="U36" s="340"/>
      <c r="V36" s="340"/>
      <c r="W36" s="341"/>
      <c r="X36" s="342"/>
      <c r="Y36" s="320"/>
      <c r="Z36" s="328"/>
      <c r="AA36" s="328"/>
      <c r="AB36" s="11"/>
      <c r="AC36" s="217"/>
      <c r="AD36" s="218"/>
      <c r="AE36" s="219"/>
      <c r="AF36" s="11"/>
      <c r="AG36" s="11"/>
      <c r="AH36" s="11"/>
      <c r="AI36" s="11"/>
      <c r="AJ36" s="11"/>
      <c r="AK36" s="11"/>
      <c r="AL36" s="11"/>
      <c r="AM36" s="11"/>
      <c r="AN36" s="11"/>
      <c r="AO36" s="11"/>
      <c r="AP36" s="11"/>
      <c r="AQ36" s="11"/>
      <c r="AR36" s="11"/>
      <c r="AS36" s="225"/>
    </row>
    <row r="37" spans="1:45" s="221" customFormat="1" ht="22" customHeight="1">
      <c r="A37" s="215"/>
      <c r="B37" s="367"/>
      <c r="C37" s="223"/>
      <c r="D37" s="373"/>
      <c r="E37" s="358"/>
      <c r="F37" s="349"/>
      <c r="G37" s="350"/>
      <c r="H37" s="322"/>
      <c r="I37" s="323"/>
      <c r="J37" s="337" t="s">
        <v>399</v>
      </c>
      <c r="K37" s="336"/>
      <c r="L37" s="337"/>
      <c r="M37" s="338"/>
      <c r="N37" s="327"/>
      <c r="O37" s="328"/>
      <c r="P37" s="328"/>
      <c r="Q37" s="327"/>
      <c r="R37" s="328"/>
      <c r="S37" s="328"/>
      <c r="T37" s="339"/>
      <c r="U37" s="340"/>
      <c r="V37" s="340"/>
      <c r="W37" s="341"/>
      <c r="X37" s="342"/>
      <c r="Y37" s="320"/>
      <c r="Z37" s="328"/>
      <c r="AA37" s="328"/>
      <c r="AB37" s="11"/>
      <c r="AC37" s="217"/>
      <c r="AD37" s="218"/>
      <c r="AE37" s="219"/>
      <c r="AF37" s="11"/>
      <c r="AG37" s="11"/>
      <c r="AH37" s="11"/>
      <c r="AI37" s="11"/>
      <c r="AJ37" s="11"/>
      <c r="AK37" s="11"/>
      <c r="AL37" s="11"/>
      <c r="AM37" s="11"/>
      <c r="AN37" s="11"/>
      <c r="AO37" s="11"/>
      <c r="AP37" s="11"/>
      <c r="AQ37" s="11"/>
      <c r="AR37" s="11"/>
      <c r="AS37" s="225"/>
    </row>
    <row r="38" spans="1:45" s="221" customFormat="1" ht="22" customHeight="1">
      <c r="A38" s="215"/>
      <c r="B38" s="367"/>
      <c r="C38" s="223"/>
      <c r="D38" s="373"/>
      <c r="E38" s="358"/>
      <c r="F38" s="349"/>
      <c r="G38" s="350"/>
      <c r="H38" s="322"/>
      <c r="I38" s="323"/>
      <c r="J38" s="337" t="s">
        <v>398</v>
      </c>
      <c r="K38" s="336"/>
      <c r="L38" s="337"/>
      <c r="M38" s="338"/>
      <c r="N38" s="327"/>
      <c r="O38" s="328"/>
      <c r="P38" s="328"/>
      <c r="Q38" s="327"/>
      <c r="R38" s="328"/>
      <c r="S38" s="328"/>
      <c r="T38" s="339"/>
      <c r="U38" s="340"/>
      <c r="V38" s="340"/>
      <c r="W38" s="341"/>
      <c r="X38" s="342"/>
      <c r="Y38" s="320"/>
      <c r="Z38" s="328"/>
      <c r="AA38" s="328"/>
      <c r="AB38" s="11"/>
      <c r="AC38" s="217"/>
      <c r="AD38" s="218"/>
      <c r="AE38" s="219"/>
      <c r="AF38" s="11"/>
      <c r="AG38" s="11"/>
      <c r="AH38" s="11"/>
      <c r="AI38" s="11"/>
      <c r="AJ38" s="11"/>
      <c r="AK38" s="11"/>
      <c r="AL38" s="11"/>
      <c r="AM38" s="11"/>
      <c r="AN38" s="11"/>
      <c r="AO38" s="11"/>
      <c r="AP38" s="11"/>
      <c r="AQ38" s="11"/>
      <c r="AR38" s="11"/>
      <c r="AS38" s="225"/>
    </row>
    <row r="39" spans="1:45" s="221" customFormat="1">
      <c r="A39" s="215"/>
      <c r="B39" s="368"/>
      <c r="C39" s="223"/>
      <c r="D39" s="373"/>
      <c r="E39" s="358"/>
      <c r="F39" s="349"/>
      <c r="G39" s="350"/>
      <c r="H39" s="322"/>
      <c r="I39" s="323"/>
      <c r="J39" s="337"/>
      <c r="K39" s="336"/>
      <c r="L39" s="337"/>
      <c r="M39" s="338"/>
      <c r="N39" s="327"/>
      <c r="O39" s="328"/>
      <c r="P39" s="328"/>
      <c r="Q39" s="327"/>
      <c r="R39" s="328"/>
      <c r="S39" s="328"/>
      <c r="T39" s="339"/>
      <c r="U39" s="340"/>
      <c r="V39" s="340"/>
      <c r="W39" s="341"/>
      <c r="X39" s="342"/>
      <c r="Y39" s="320"/>
      <c r="Z39" s="328"/>
      <c r="AA39" s="328"/>
      <c r="AB39" s="11"/>
      <c r="AC39" s="217"/>
      <c r="AD39" s="218"/>
      <c r="AE39" s="219"/>
      <c r="AF39" s="11"/>
      <c r="AG39" s="11"/>
      <c r="AH39" s="11"/>
      <c r="AI39" s="11"/>
      <c r="AJ39" s="11"/>
      <c r="AK39" s="11"/>
      <c r="AL39" s="11"/>
      <c r="AM39" s="11"/>
      <c r="AN39" s="11"/>
      <c r="AO39" s="11"/>
      <c r="AP39" s="11"/>
      <c r="AQ39" s="11"/>
      <c r="AR39" s="11"/>
      <c r="AS39" s="225"/>
    </row>
    <row r="40" spans="1:45" s="221" customFormat="1" ht="20" customHeight="1">
      <c r="A40" s="215"/>
      <c r="B40" s="366" t="str">
        <f>IF(D40="","",ヘッダ!$C$5)</f>
        <v>Social Login</v>
      </c>
      <c r="C40" s="223"/>
      <c r="D40" s="374" t="s">
        <v>370</v>
      </c>
      <c r="E40" s="358"/>
      <c r="F40" s="349"/>
      <c r="G40" s="350"/>
      <c r="H40" s="322" t="s">
        <v>392</v>
      </c>
      <c r="I40" s="323" t="s">
        <v>390</v>
      </c>
      <c r="J40" s="321" t="s">
        <v>409</v>
      </c>
      <c r="K40" s="336"/>
      <c r="L40" s="337"/>
      <c r="M40" s="326" t="s">
        <v>371</v>
      </c>
      <c r="N40" s="327" t="s">
        <v>389</v>
      </c>
      <c r="O40" s="328">
        <v>44419</v>
      </c>
      <c r="P40" s="328">
        <v>44419</v>
      </c>
      <c r="Q40" s="327"/>
      <c r="R40" s="328"/>
      <c r="S40" s="328"/>
      <c r="T40" s="339"/>
      <c r="U40" s="340"/>
      <c r="V40" s="340"/>
      <c r="W40" s="341"/>
      <c r="X40" s="342"/>
      <c r="Y40" s="320"/>
      <c r="Z40" s="328"/>
      <c r="AA40" s="328"/>
      <c r="AB40" s="11"/>
      <c r="AC40" s="217"/>
      <c r="AD40" s="218"/>
      <c r="AE40" s="219"/>
      <c r="AF40" s="11"/>
      <c r="AG40" s="11"/>
      <c r="AH40" s="11"/>
      <c r="AI40" s="11"/>
      <c r="AJ40" s="11"/>
      <c r="AK40" s="11"/>
      <c r="AL40" s="11"/>
      <c r="AM40" s="11"/>
      <c r="AN40" s="11"/>
      <c r="AO40" s="11"/>
      <c r="AP40" s="11"/>
      <c r="AQ40" s="11"/>
      <c r="AR40" s="11"/>
      <c r="AS40" s="225" t="str">
        <f>ヘッダ!$G$5</f>
        <v>02_単体テスト</v>
      </c>
    </row>
    <row r="41" spans="1:45" s="221" customFormat="1" ht="20" customHeight="1">
      <c r="A41" s="215"/>
      <c r="B41" s="367"/>
      <c r="C41" s="223"/>
      <c r="D41" s="374"/>
      <c r="E41" s="358"/>
      <c r="F41" s="349"/>
      <c r="G41" s="350"/>
      <c r="H41" s="322"/>
      <c r="I41" s="323"/>
      <c r="J41" s="321" t="s">
        <v>417</v>
      </c>
      <c r="K41" s="336"/>
      <c r="L41" s="337"/>
      <c r="M41" s="326" t="s">
        <v>371</v>
      </c>
      <c r="N41" s="327" t="s">
        <v>389</v>
      </c>
      <c r="O41" s="328">
        <v>44419</v>
      </c>
      <c r="P41" s="328">
        <v>44419</v>
      </c>
      <c r="Q41" s="327"/>
      <c r="R41" s="328"/>
      <c r="S41" s="328"/>
      <c r="T41" s="339"/>
      <c r="U41" s="340"/>
      <c r="V41" s="340"/>
      <c r="W41" s="341"/>
      <c r="X41" s="342"/>
      <c r="Y41" s="320"/>
      <c r="Z41" s="328"/>
      <c r="AA41" s="328"/>
      <c r="AB41" s="11"/>
      <c r="AC41" s="217"/>
      <c r="AD41" s="218"/>
      <c r="AE41" s="219"/>
      <c r="AF41" s="11"/>
      <c r="AG41" s="11"/>
      <c r="AH41" s="11"/>
      <c r="AI41" s="11"/>
      <c r="AJ41" s="11"/>
      <c r="AK41" s="11"/>
      <c r="AL41" s="11"/>
      <c r="AM41" s="11"/>
      <c r="AN41" s="11"/>
      <c r="AO41" s="11"/>
      <c r="AP41" s="11"/>
      <c r="AQ41" s="11"/>
      <c r="AR41" s="11"/>
      <c r="AS41" s="225"/>
    </row>
    <row r="42" spans="1:45" s="221" customFormat="1" ht="20" customHeight="1">
      <c r="A42" s="215"/>
      <c r="B42" s="367"/>
      <c r="C42" s="223"/>
      <c r="D42" s="374"/>
      <c r="E42" s="358"/>
      <c r="F42" s="349"/>
      <c r="G42" s="350"/>
      <c r="H42" s="322"/>
      <c r="I42" s="323"/>
      <c r="J42" s="321" t="s">
        <v>416</v>
      </c>
      <c r="K42" s="336"/>
      <c r="L42" s="337"/>
      <c r="M42" s="326" t="s">
        <v>371</v>
      </c>
      <c r="N42" s="327" t="s">
        <v>389</v>
      </c>
      <c r="O42" s="328">
        <v>44419</v>
      </c>
      <c r="P42" s="328">
        <v>44419</v>
      </c>
      <c r="Q42" s="327"/>
      <c r="R42" s="328"/>
      <c r="S42" s="328"/>
      <c r="T42" s="339"/>
      <c r="U42" s="340"/>
      <c r="V42" s="340"/>
      <c r="W42" s="341"/>
      <c r="X42" s="342"/>
      <c r="Y42" s="320"/>
      <c r="Z42" s="328"/>
      <c r="AA42" s="328"/>
      <c r="AB42" s="11"/>
      <c r="AC42" s="217"/>
      <c r="AD42" s="218"/>
      <c r="AE42" s="219"/>
      <c r="AF42" s="11"/>
      <c r="AG42" s="11"/>
      <c r="AH42" s="11"/>
      <c r="AI42" s="11"/>
      <c r="AJ42" s="11"/>
      <c r="AK42" s="11"/>
      <c r="AL42" s="11"/>
      <c r="AM42" s="11"/>
      <c r="AN42" s="11"/>
      <c r="AO42" s="11"/>
      <c r="AP42" s="11"/>
      <c r="AQ42" s="11"/>
      <c r="AR42" s="11"/>
      <c r="AS42" s="225"/>
    </row>
    <row r="43" spans="1:45" s="221" customFormat="1" ht="20" customHeight="1">
      <c r="A43" s="215"/>
      <c r="B43" s="367"/>
      <c r="C43" s="223"/>
      <c r="D43" s="374"/>
      <c r="E43" s="358"/>
      <c r="F43" s="349"/>
      <c r="G43" s="350"/>
      <c r="H43" s="322"/>
      <c r="I43" s="323"/>
      <c r="J43" s="321" t="s">
        <v>419</v>
      </c>
      <c r="K43" s="336"/>
      <c r="L43" s="337"/>
      <c r="M43" s="326" t="s">
        <v>371</v>
      </c>
      <c r="N43" s="327" t="s">
        <v>389</v>
      </c>
      <c r="O43" s="328">
        <v>44419</v>
      </c>
      <c r="P43" s="328">
        <v>44419</v>
      </c>
      <c r="Q43" s="327"/>
      <c r="R43" s="328"/>
      <c r="S43" s="328"/>
      <c r="T43" s="339"/>
      <c r="U43" s="340"/>
      <c r="V43" s="340"/>
      <c r="W43" s="341"/>
      <c r="X43" s="342"/>
      <c r="Y43" s="320"/>
      <c r="Z43" s="328"/>
      <c r="AA43" s="328"/>
      <c r="AB43" s="11"/>
      <c r="AC43" s="217"/>
      <c r="AD43" s="218"/>
      <c r="AE43" s="219"/>
      <c r="AF43" s="11"/>
      <c r="AG43" s="11"/>
      <c r="AH43" s="11"/>
      <c r="AI43" s="11"/>
      <c r="AJ43" s="11"/>
      <c r="AK43" s="11"/>
      <c r="AL43" s="11"/>
      <c r="AM43" s="11"/>
      <c r="AN43" s="11"/>
      <c r="AO43" s="11"/>
      <c r="AP43" s="11"/>
      <c r="AQ43" s="11"/>
      <c r="AR43" s="11"/>
      <c r="AS43" s="225"/>
    </row>
    <row r="44" spans="1:45" s="221" customFormat="1" ht="20" customHeight="1">
      <c r="A44" s="215"/>
      <c r="B44" s="367"/>
      <c r="C44" s="223"/>
      <c r="D44" s="374"/>
      <c r="E44" s="358"/>
      <c r="F44" s="349"/>
      <c r="G44" s="350"/>
      <c r="H44" s="322"/>
      <c r="I44" s="323"/>
      <c r="J44" s="321" t="s">
        <v>418</v>
      </c>
      <c r="K44" s="336"/>
      <c r="L44" s="337"/>
      <c r="M44" s="326" t="s">
        <v>371</v>
      </c>
      <c r="N44" s="327" t="s">
        <v>389</v>
      </c>
      <c r="O44" s="328">
        <v>44419</v>
      </c>
      <c r="P44" s="328">
        <v>44419</v>
      </c>
      <c r="Q44" s="327"/>
      <c r="R44" s="328"/>
      <c r="S44" s="328"/>
      <c r="T44" s="339"/>
      <c r="U44" s="340"/>
      <c r="V44" s="340"/>
      <c r="W44" s="341"/>
      <c r="X44" s="342"/>
      <c r="Y44" s="320"/>
      <c r="Z44" s="328"/>
      <c r="AA44" s="328"/>
      <c r="AB44" s="11"/>
      <c r="AC44" s="217"/>
      <c r="AD44" s="218"/>
      <c r="AE44" s="219"/>
      <c r="AF44" s="11"/>
      <c r="AG44" s="11"/>
      <c r="AH44" s="11"/>
      <c r="AI44" s="11"/>
      <c r="AJ44" s="11"/>
      <c r="AK44" s="11"/>
      <c r="AL44" s="11"/>
      <c r="AM44" s="11"/>
      <c r="AN44" s="11"/>
      <c r="AO44" s="11"/>
      <c r="AP44" s="11"/>
      <c r="AQ44" s="11"/>
      <c r="AR44" s="11"/>
      <c r="AS44" s="225"/>
    </row>
    <row r="45" spans="1:45" s="221" customFormat="1" ht="20" customHeight="1">
      <c r="A45" s="215"/>
      <c r="B45" s="367"/>
      <c r="C45" s="223"/>
      <c r="D45" s="374"/>
      <c r="E45" s="358"/>
      <c r="F45" s="349"/>
      <c r="G45" s="350"/>
      <c r="H45" s="322"/>
      <c r="I45" s="323"/>
      <c r="J45" s="321" t="s">
        <v>420</v>
      </c>
      <c r="K45" s="336"/>
      <c r="L45" s="337"/>
      <c r="M45" s="326" t="s">
        <v>371</v>
      </c>
      <c r="N45" s="327" t="s">
        <v>389</v>
      </c>
      <c r="O45" s="328">
        <v>44419</v>
      </c>
      <c r="P45" s="328">
        <v>44419</v>
      </c>
      <c r="Q45" s="327"/>
      <c r="R45" s="328"/>
      <c r="S45" s="328"/>
      <c r="T45" s="339"/>
      <c r="U45" s="340"/>
      <c r="V45" s="340"/>
      <c r="W45" s="341"/>
      <c r="X45" s="342"/>
      <c r="Y45" s="320"/>
      <c r="Z45" s="328"/>
      <c r="AA45" s="328"/>
      <c r="AB45" s="11"/>
      <c r="AC45" s="217"/>
      <c r="AD45" s="218"/>
      <c r="AE45" s="219"/>
      <c r="AF45" s="11"/>
      <c r="AG45" s="11"/>
      <c r="AH45" s="11"/>
      <c r="AI45" s="11"/>
      <c r="AJ45" s="11"/>
      <c r="AK45" s="11"/>
      <c r="AL45" s="11"/>
      <c r="AM45" s="11"/>
      <c r="AN45" s="11"/>
      <c r="AO45" s="11"/>
      <c r="AP45" s="11"/>
      <c r="AQ45" s="11"/>
      <c r="AR45" s="11"/>
      <c r="AS45" s="225"/>
    </row>
    <row r="46" spans="1:45" s="221" customFormat="1" ht="20" customHeight="1">
      <c r="A46" s="215"/>
      <c r="B46" s="367"/>
      <c r="C46" s="223"/>
      <c r="D46" s="374"/>
      <c r="E46" s="358"/>
      <c r="F46" s="349"/>
      <c r="G46" s="350"/>
      <c r="H46" s="322"/>
      <c r="I46" s="323"/>
      <c r="J46" s="321" t="s">
        <v>422</v>
      </c>
      <c r="K46" s="336"/>
      <c r="L46" s="337"/>
      <c r="M46" s="326" t="s">
        <v>371</v>
      </c>
      <c r="N46" s="327" t="s">
        <v>389</v>
      </c>
      <c r="O46" s="328">
        <v>44419</v>
      </c>
      <c r="P46" s="328">
        <v>44419</v>
      </c>
      <c r="Q46" s="327"/>
      <c r="R46" s="328"/>
      <c r="S46" s="328"/>
      <c r="T46" s="339"/>
      <c r="U46" s="340"/>
      <c r="V46" s="340"/>
      <c r="W46" s="341"/>
      <c r="X46" s="342"/>
      <c r="Y46" s="320"/>
      <c r="Z46" s="328"/>
      <c r="AA46" s="328"/>
      <c r="AB46" s="11"/>
      <c r="AC46" s="217"/>
      <c r="AD46" s="218"/>
      <c r="AE46" s="219"/>
      <c r="AF46" s="11"/>
      <c r="AG46" s="11"/>
      <c r="AH46" s="11"/>
      <c r="AI46" s="11"/>
      <c r="AJ46" s="11"/>
      <c r="AK46" s="11"/>
      <c r="AL46" s="11"/>
      <c r="AM46" s="11"/>
      <c r="AN46" s="11"/>
      <c r="AO46" s="11"/>
      <c r="AP46" s="11"/>
      <c r="AQ46" s="11"/>
      <c r="AR46" s="11"/>
      <c r="AS46" s="225"/>
    </row>
    <row r="47" spans="1:45" s="221" customFormat="1" ht="20" customHeight="1">
      <c r="A47" s="215"/>
      <c r="B47" s="367"/>
      <c r="C47" s="223"/>
      <c r="D47" s="374"/>
      <c r="E47" s="358"/>
      <c r="F47" s="349"/>
      <c r="G47" s="350"/>
      <c r="H47" s="322"/>
      <c r="I47" s="323"/>
      <c r="J47" s="321" t="s">
        <v>421</v>
      </c>
      <c r="K47" s="336"/>
      <c r="L47" s="337"/>
      <c r="M47" s="326" t="s">
        <v>371</v>
      </c>
      <c r="N47" s="327" t="s">
        <v>389</v>
      </c>
      <c r="O47" s="328">
        <v>44419</v>
      </c>
      <c r="P47" s="328">
        <v>44419</v>
      </c>
      <c r="Q47" s="327"/>
      <c r="R47" s="328"/>
      <c r="S47" s="328"/>
      <c r="T47" s="339"/>
      <c r="U47" s="340"/>
      <c r="V47" s="340"/>
      <c r="W47" s="341"/>
      <c r="X47" s="342"/>
      <c r="Y47" s="320"/>
      <c r="Z47" s="328"/>
      <c r="AA47" s="328"/>
      <c r="AB47" s="11"/>
      <c r="AC47" s="217"/>
      <c r="AD47" s="218"/>
      <c r="AE47" s="219"/>
      <c r="AF47" s="11"/>
      <c r="AG47" s="11"/>
      <c r="AH47" s="11"/>
      <c r="AI47" s="11"/>
      <c r="AJ47" s="11"/>
      <c r="AK47" s="11"/>
      <c r="AL47" s="11"/>
      <c r="AM47" s="11"/>
      <c r="AN47" s="11"/>
      <c r="AO47" s="11"/>
      <c r="AP47" s="11"/>
      <c r="AQ47" s="11"/>
      <c r="AR47" s="11"/>
      <c r="AS47" s="225"/>
    </row>
    <row r="48" spans="1:45" s="221" customFormat="1" ht="20" customHeight="1">
      <c r="A48" s="215"/>
      <c r="B48" s="368"/>
      <c r="C48" s="223"/>
      <c r="D48" s="374"/>
      <c r="E48" s="358"/>
      <c r="F48" s="349"/>
      <c r="G48" s="350"/>
      <c r="H48" s="322"/>
      <c r="I48" s="323"/>
      <c r="K48" s="336"/>
      <c r="L48" s="337"/>
      <c r="M48" s="338"/>
      <c r="N48" s="327"/>
      <c r="O48" s="328"/>
      <c r="P48" s="328"/>
      <c r="Q48" s="327"/>
      <c r="R48" s="328"/>
      <c r="S48" s="328"/>
      <c r="T48" s="339"/>
      <c r="U48" s="340"/>
      <c r="V48" s="340"/>
      <c r="W48" s="341"/>
      <c r="X48" s="342"/>
      <c r="Y48" s="320"/>
      <c r="Z48" s="328"/>
      <c r="AA48" s="328"/>
      <c r="AB48" s="11"/>
      <c r="AC48" s="217"/>
      <c r="AD48" s="218"/>
      <c r="AE48" s="219"/>
      <c r="AF48" s="11"/>
      <c r="AG48" s="11"/>
      <c r="AH48" s="11"/>
      <c r="AI48" s="11"/>
      <c r="AJ48" s="11"/>
      <c r="AK48" s="11"/>
      <c r="AL48" s="11"/>
      <c r="AM48" s="11"/>
      <c r="AN48" s="11"/>
      <c r="AO48" s="11"/>
      <c r="AP48" s="11"/>
      <c r="AQ48" s="11"/>
      <c r="AR48" s="11"/>
      <c r="AS48" s="225"/>
    </row>
    <row r="49" spans="1:45" s="221" customFormat="1" ht="20" customHeight="1">
      <c r="A49" s="215"/>
      <c r="B49" s="366" t="str">
        <f>IF(D49="","",ヘッダ!$C$5)</f>
        <v>Social Login</v>
      </c>
      <c r="C49" s="223"/>
      <c r="D49" s="374" t="s">
        <v>372</v>
      </c>
      <c r="E49" s="358"/>
      <c r="F49" s="349"/>
      <c r="G49" s="350"/>
      <c r="H49" s="322"/>
      <c r="I49" s="323" t="s">
        <v>391</v>
      </c>
      <c r="J49" s="337" t="s">
        <v>393</v>
      </c>
      <c r="K49" s="336"/>
      <c r="L49" s="337"/>
      <c r="M49" s="338"/>
      <c r="N49" s="327"/>
      <c r="O49" s="328"/>
      <c r="P49" s="328"/>
      <c r="Q49" s="327"/>
      <c r="R49" s="328"/>
      <c r="S49" s="328"/>
      <c r="T49" s="339"/>
      <c r="U49" s="340"/>
      <c r="V49" s="340"/>
      <c r="W49" s="341"/>
      <c r="X49" s="342"/>
      <c r="Y49" s="320"/>
      <c r="Z49" s="328"/>
      <c r="AA49" s="328"/>
      <c r="AB49" s="11"/>
      <c r="AC49" s="217"/>
      <c r="AD49" s="218"/>
      <c r="AE49" s="219"/>
      <c r="AF49" s="11"/>
      <c r="AG49" s="11"/>
      <c r="AH49" s="11"/>
      <c r="AI49" s="11"/>
      <c r="AJ49" s="11"/>
      <c r="AK49" s="11"/>
      <c r="AL49" s="11"/>
      <c r="AM49" s="11"/>
      <c r="AN49" s="11"/>
      <c r="AO49" s="11"/>
      <c r="AP49" s="11"/>
      <c r="AQ49" s="11"/>
      <c r="AR49" s="11"/>
      <c r="AS49" s="225"/>
    </row>
    <row r="50" spans="1:45" s="221" customFormat="1" ht="20" customHeight="1">
      <c r="A50" s="215"/>
      <c r="B50" s="367"/>
      <c r="C50" s="223"/>
      <c r="D50" s="374"/>
      <c r="E50" s="358"/>
      <c r="F50" s="349"/>
      <c r="G50" s="350"/>
      <c r="H50" s="322"/>
      <c r="I50" s="323"/>
      <c r="J50" s="337" t="s">
        <v>394</v>
      </c>
      <c r="K50" s="336"/>
      <c r="L50" s="337"/>
      <c r="M50" s="338"/>
      <c r="N50" s="327"/>
      <c r="O50" s="328"/>
      <c r="P50" s="328"/>
      <c r="Q50" s="327"/>
      <c r="R50" s="328"/>
      <c r="S50" s="328"/>
      <c r="T50" s="339"/>
      <c r="U50" s="340"/>
      <c r="V50" s="340"/>
      <c r="W50" s="341"/>
      <c r="X50" s="342"/>
      <c r="Y50" s="320"/>
      <c r="Z50" s="328"/>
      <c r="AA50" s="328"/>
      <c r="AB50" s="11"/>
      <c r="AC50" s="217"/>
      <c r="AD50" s="218"/>
      <c r="AE50" s="219"/>
      <c r="AF50" s="11"/>
      <c r="AG50" s="11"/>
      <c r="AH50" s="11"/>
      <c r="AI50" s="11"/>
      <c r="AJ50" s="11"/>
      <c r="AK50" s="11"/>
      <c r="AL50" s="11"/>
      <c r="AM50" s="11"/>
      <c r="AN50" s="11"/>
      <c r="AO50" s="11"/>
      <c r="AP50" s="11"/>
      <c r="AQ50" s="11"/>
      <c r="AR50" s="11"/>
      <c r="AS50" s="225" t="str">
        <f>ヘッダ!$G$5</f>
        <v>02_単体テスト</v>
      </c>
    </row>
    <row r="51" spans="1:45" s="221" customFormat="1" ht="20" customHeight="1">
      <c r="A51" s="215"/>
      <c r="B51" s="367"/>
      <c r="C51" s="223"/>
      <c r="D51" s="374"/>
      <c r="E51" s="358"/>
      <c r="F51" s="349"/>
      <c r="G51" s="350"/>
      <c r="H51" s="322"/>
      <c r="I51" s="323"/>
      <c r="J51" s="337" t="s">
        <v>395</v>
      </c>
      <c r="K51" s="336"/>
      <c r="L51" s="337"/>
      <c r="M51" s="338"/>
      <c r="N51" s="327"/>
      <c r="O51" s="328"/>
      <c r="P51" s="328"/>
      <c r="Q51" s="327"/>
      <c r="R51" s="328"/>
      <c r="S51" s="328"/>
      <c r="T51" s="339"/>
      <c r="U51" s="340"/>
      <c r="V51" s="340"/>
      <c r="W51" s="341"/>
      <c r="X51" s="342"/>
      <c r="Y51" s="320"/>
      <c r="Z51" s="328"/>
      <c r="AA51" s="328"/>
      <c r="AB51" s="11"/>
      <c r="AC51" s="217"/>
      <c r="AD51" s="218"/>
      <c r="AE51" s="219"/>
      <c r="AF51" s="11"/>
      <c r="AG51" s="11"/>
      <c r="AH51" s="11"/>
      <c r="AI51" s="11"/>
      <c r="AJ51" s="11"/>
      <c r="AK51" s="11"/>
      <c r="AL51" s="11"/>
      <c r="AM51" s="11"/>
      <c r="AN51" s="11"/>
      <c r="AO51" s="11"/>
      <c r="AP51" s="11"/>
      <c r="AQ51" s="11"/>
      <c r="AR51" s="11"/>
      <c r="AS51" s="225"/>
    </row>
    <row r="52" spans="1:45" s="221" customFormat="1" ht="20" customHeight="1">
      <c r="A52" s="215"/>
      <c r="B52" s="367"/>
      <c r="C52" s="223"/>
      <c r="D52" s="374"/>
      <c r="E52" s="358"/>
      <c r="F52" s="349"/>
      <c r="G52" s="350"/>
      <c r="H52" s="322"/>
      <c r="I52" s="323"/>
      <c r="J52" s="337" t="s">
        <v>396</v>
      </c>
      <c r="K52" s="336"/>
      <c r="L52" s="337"/>
      <c r="M52" s="338"/>
      <c r="N52" s="327"/>
      <c r="O52" s="328"/>
      <c r="P52" s="328"/>
      <c r="Q52" s="327"/>
      <c r="R52" s="328"/>
      <c r="S52" s="328"/>
      <c r="T52" s="339"/>
      <c r="U52" s="340"/>
      <c r="V52" s="340"/>
      <c r="W52" s="341"/>
      <c r="X52" s="342"/>
      <c r="Y52" s="320"/>
      <c r="Z52" s="328"/>
      <c r="AA52" s="328"/>
      <c r="AB52" s="11"/>
      <c r="AC52" s="217"/>
      <c r="AD52" s="218"/>
      <c r="AE52" s="219"/>
      <c r="AF52" s="11"/>
      <c r="AG52" s="11"/>
      <c r="AH52" s="11"/>
      <c r="AI52" s="11"/>
      <c r="AJ52" s="11"/>
      <c r="AK52" s="11"/>
      <c r="AL52" s="11"/>
      <c r="AM52" s="11"/>
      <c r="AN52" s="11"/>
      <c r="AO52" s="11"/>
      <c r="AP52" s="11"/>
      <c r="AQ52" s="11"/>
      <c r="AR52" s="11"/>
      <c r="AS52" s="225"/>
    </row>
    <row r="53" spans="1:45" s="221" customFormat="1" ht="20" customHeight="1">
      <c r="A53" s="215"/>
      <c r="B53" s="367"/>
      <c r="C53" s="223"/>
      <c r="D53" s="374"/>
      <c r="E53" s="358"/>
      <c r="F53" s="349"/>
      <c r="G53" s="350"/>
      <c r="H53" s="322"/>
      <c r="I53" s="323"/>
      <c r="J53" s="337" t="s">
        <v>397</v>
      </c>
      <c r="K53" s="336"/>
      <c r="L53" s="337"/>
      <c r="M53" s="338"/>
      <c r="N53" s="327"/>
      <c r="O53" s="328"/>
      <c r="P53" s="328"/>
      <c r="Q53" s="327"/>
      <c r="R53" s="328"/>
      <c r="S53" s="328"/>
      <c r="T53" s="339"/>
      <c r="U53" s="340"/>
      <c r="V53" s="340"/>
      <c r="W53" s="341"/>
      <c r="X53" s="342"/>
      <c r="Y53" s="320"/>
      <c r="Z53" s="328"/>
      <c r="AA53" s="328"/>
      <c r="AB53" s="11"/>
      <c r="AC53" s="217"/>
      <c r="AD53" s="218"/>
      <c r="AE53" s="219"/>
      <c r="AF53" s="11"/>
      <c r="AG53" s="11"/>
      <c r="AH53" s="11"/>
      <c r="AI53" s="11"/>
      <c r="AJ53" s="11"/>
      <c r="AK53" s="11"/>
      <c r="AL53" s="11"/>
      <c r="AM53" s="11"/>
      <c r="AN53" s="11"/>
      <c r="AO53" s="11"/>
      <c r="AP53" s="11"/>
      <c r="AQ53" s="11"/>
      <c r="AR53" s="11"/>
      <c r="AS53" s="225"/>
    </row>
    <row r="54" spans="1:45" s="221" customFormat="1" ht="20" customHeight="1">
      <c r="A54" s="215"/>
      <c r="B54" s="367"/>
      <c r="C54" s="223"/>
      <c r="D54" s="374"/>
      <c r="E54" s="358"/>
      <c r="F54" s="349"/>
      <c r="G54" s="350"/>
      <c r="H54" s="322"/>
      <c r="I54" s="323"/>
      <c r="J54" s="337" t="s">
        <v>399</v>
      </c>
      <c r="K54" s="336"/>
      <c r="L54" s="337"/>
      <c r="M54" s="338"/>
      <c r="N54" s="327"/>
      <c r="O54" s="328"/>
      <c r="P54" s="328"/>
      <c r="Q54" s="327"/>
      <c r="R54" s="328"/>
      <c r="S54" s="328"/>
      <c r="T54" s="339"/>
      <c r="U54" s="340"/>
      <c r="V54" s="340"/>
      <c r="W54" s="341"/>
      <c r="X54" s="342"/>
      <c r="Y54" s="320"/>
      <c r="Z54" s="328"/>
      <c r="AA54" s="328"/>
      <c r="AB54" s="11"/>
      <c r="AC54" s="217"/>
      <c r="AD54" s="218"/>
      <c r="AE54" s="219"/>
      <c r="AF54" s="11"/>
      <c r="AG54" s="11"/>
      <c r="AH54" s="11"/>
      <c r="AI54" s="11"/>
      <c r="AJ54" s="11"/>
      <c r="AK54" s="11"/>
      <c r="AL54" s="11"/>
      <c r="AM54" s="11"/>
      <c r="AN54" s="11"/>
      <c r="AO54" s="11"/>
      <c r="AP54" s="11"/>
      <c r="AQ54" s="11"/>
      <c r="AR54" s="11"/>
      <c r="AS54" s="225"/>
    </row>
    <row r="55" spans="1:45" s="221" customFormat="1" ht="20" customHeight="1">
      <c r="A55" s="215"/>
      <c r="B55" s="368"/>
      <c r="C55" s="223"/>
      <c r="D55" s="374"/>
      <c r="E55" s="358"/>
      <c r="F55" s="349"/>
      <c r="G55" s="350"/>
      <c r="H55" s="322"/>
      <c r="I55" s="323"/>
      <c r="J55" s="337" t="s">
        <v>398</v>
      </c>
      <c r="K55" s="336"/>
      <c r="L55" s="337"/>
      <c r="M55" s="338"/>
      <c r="N55" s="327"/>
      <c r="O55" s="328"/>
      <c r="P55" s="328"/>
      <c r="Q55" s="327"/>
      <c r="R55" s="328"/>
      <c r="S55" s="328"/>
      <c r="T55" s="339"/>
      <c r="U55" s="340"/>
      <c r="V55" s="340"/>
      <c r="W55" s="341"/>
      <c r="X55" s="342"/>
      <c r="Y55" s="320"/>
      <c r="Z55" s="328"/>
      <c r="AA55" s="328"/>
      <c r="AB55" s="11"/>
      <c r="AC55" s="217"/>
      <c r="AD55" s="218"/>
      <c r="AE55" s="219"/>
      <c r="AF55" s="11"/>
      <c r="AG55" s="11"/>
      <c r="AH55" s="11"/>
      <c r="AI55" s="11"/>
      <c r="AJ55" s="11"/>
      <c r="AK55" s="11"/>
      <c r="AL55" s="11"/>
      <c r="AM55" s="11"/>
      <c r="AN55" s="11"/>
      <c r="AO55" s="11"/>
      <c r="AP55" s="11"/>
      <c r="AQ55" s="11"/>
      <c r="AR55" s="11"/>
      <c r="AS55" s="225"/>
    </row>
    <row r="56" spans="1:45" s="221" customFormat="1" ht="20" customHeight="1">
      <c r="A56" s="215"/>
      <c r="B56" s="366" t="str">
        <f>IF(D56="","",ヘッダ!$C$5)</f>
        <v>Social Login</v>
      </c>
      <c r="C56" s="223"/>
      <c r="D56" s="374" t="s">
        <v>373</v>
      </c>
      <c r="E56" s="358"/>
      <c r="F56" s="349"/>
      <c r="G56" s="350"/>
      <c r="H56" s="322"/>
      <c r="I56" s="323" t="s">
        <v>401</v>
      </c>
      <c r="J56" s="337" t="s">
        <v>393</v>
      </c>
      <c r="K56" s="336"/>
      <c r="L56" s="337"/>
      <c r="M56" s="338"/>
      <c r="N56" s="327"/>
      <c r="O56" s="328"/>
      <c r="P56" s="328"/>
      <c r="Q56" s="327"/>
      <c r="R56" s="328"/>
      <c r="S56" s="328"/>
      <c r="T56" s="339"/>
      <c r="U56" s="340"/>
      <c r="V56" s="340"/>
      <c r="W56" s="341"/>
      <c r="X56" s="342"/>
      <c r="Y56" s="320"/>
      <c r="Z56" s="328"/>
      <c r="AA56" s="328"/>
      <c r="AB56" s="11"/>
      <c r="AC56" s="217"/>
      <c r="AD56" s="218"/>
      <c r="AE56" s="219"/>
      <c r="AF56" s="11"/>
      <c r="AG56" s="11"/>
      <c r="AH56" s="11"/>
      <c r="AI56" s="11"/>
      <c r="AJ56" s="11"/>
      <c r="AK56" s="11"/>
      <c r="AL56" s="11"/>
      <c r="AM56" s="11"/>
      <c r="AN56" s="11"/>
      <c r="AO56" s="11"/>
      <c r="AP56" s="11"/>
      <c r="AQ56" s="11"/>
      <c r="AR56" s="11"/>
      <c r="AS56" s="225"/>
    </row>
    <row r="57" spans="1:45" s="221" customFormat="1" ht="20" customHeight="1">
      <c r="A57" s="215"/>
      <c r="B57" s="367"/>
      <c r="C57" s="223"/>
      <c r="D57" s="374"/>
      <c r="E57" s="358"/>
      <c r="F57" s="349"/>
      <c r="G57" s="350"/>
      <c r="H57" s="322"/>
      <c r="I57" s="323"/>
      <c r="J57" s="337" t="s">
        <v>394</v>
      </c>
      <c r="K57" s="336"/>
      <c r="L57" s="337"/>
      <c r="M57" s="338"/>
      <c r="N57" s="327"/>
      <c r="O57" s="328"/>
      <c r="P57" s="328"/>
      <c r="Q57" s="327"/>
      <c r="R57" s="328"/>
      <c r="S57" s="328"/>
      <c r="T57" s="339"/>
      <c r="U57" s="340"/>
      <c r="V57" s="340"/>
      <c r="W57" s="341"/>
      <c r="X57" s="342"/>
      <c r="Y57" s="320"/>
      <c r="Z57" s="328"/>
      <c r="AA57" s="328"/>
      <c r="AB57" s="11"/>
      <c r="AC57" s="217"/>
      <c r="AD57" s="218"/>
      <c r="AE57" s="219"/>
      <c r="AF57" s="11"/>
      <c r="AG57" s="11"/>
      <c r="AH57" s="11"/>
      <c r="AI57" s="11"/>
      <c r="AJ57" s="11"/>
      <c r="AK57" s="11"/>
      <c r="AL57" s="11"/>
      <c r="AM57" s="11"/>
      <c r="AN57" s="11"/>
      <c r="AO57" s="11"/>
      <c r="AP57" s="11"/>
      <c r="AQ57" s="11"/>
      <c r="AR57" s="11"/>
      <c r="AS57" s="225"/>
    </row>
    <row r="58" spans="1:45" s="221" customFormat="1" ht="20" customHeight="1">
      <c r="A58" s="215"/>
      <c r="B58" s="367"/>
      <c r="C58" s="223"/>
      <c r="D58" s="374"/>
      <c r="E58" s="358"/>
      <c r="F58" s="349"/>
      <c r="G58" s="350"/>
      <c r="H58" s="322"/>
      <c r="I58" s="323"/>
      <c r="J58" s="337" t="s">
        <v>395</v>
      </c>
      <c r="K58" s="336"/>
      <c r="L58" s="337"/>
      <c r="M58" s="338"/>
      <c r="N58" s="327"/>
      <c r="O58" s="328"/>
      <c r="P58" s="328"/>
      <c r="Q58" s="327"/>
      <c r="R58" s="328"/>
      <c r="S58" s="328"/>
      <c r="T58" s="339"/>
      <c r="U58" s="340"/>
      <c r="V58" s="340"/>
      <c r="W58" s="341"/>
      <c r="X58" s="342"/>
      <c r="Y58" s="320"/>
      <c r="Z58" s="328"/>
      <c r="AA58" s="328"/>
      <c r="AB58" s="11"/>
      <c r="AC58" s="217"/>
      <c r="AD58" s="218"/>
      <c r="AE58" s="219"/>
      <c r="AF58" s="11"/>
      <c r="AG58" s="11"/>
      <c r="AH58" s="11"/>
      <c r="AI58" s="11"/>
      <c r="AJ58" s="11"/>
      <c r="AK58" s="11"/>
      <c r="AL58" s="11"/>
      <c r="AM58" s="11"/>
      <c r="AN58" s="11"/>
      <c r="AO58" s="11"/>
      <c r="AP58" s="11"/>
      <c r="AQ58" s="11"/>
      <c r="AR58" s="11"/>
      <c r="AS58" s="225" t="str">
        <f>ヘッダ!$G$5</f>
        <v>02_単体テスト</v>
      </c>
    </row>
    <row r="59" spans="1:45" s="221" customFormat="1" ht="20" customHeight="1">
      <c r="A59" s="215"/>
      <c r="B59" s="367"/>
      <c r="C59" s="223"/>
      <c r="D59" s="374"/>
      <c r="E59" s="358"/>
      <c r="F59" s="349"/>
      <c r="G59" s="350"/>
      <c r="H59" s="322"/>
      <c r="I59" s="323"/>
      <c r="J59" s="337" t="s">
        <v>396</v>
      </c>
      <c r="K59" s="336"/>
      <c r="L59" s="337"/>
      <c r="M59" s="338"/>
      <c r="N59" s="327"/>
      <c r="O59" s="328"/>
      <c r="P59" s="328"/>
      <c r="Q59" s="327"/>
      <c r="R59" s="328"/>
      <c r="S59" s="328"/>
      <c r="T59" s="339"/>
      <c r="U59" s="340"/>
      <c r="V59" s="340"/>
      <c r="W59" s="341"/>
      <c r="X59" s="342"/>
      <c r="Y59" s="320"/>
      <c r="Z59" s="328"/>
      <c r="AA59" s="328"/>
      <c r="AB59" s="11"/>
      <c r="AC59" s="217"/>
      <c r="AD59" s="218"/>
      <c r="AE59" s="219"/>
      <c r="AF59" s="11"/>
      <c r="AG59" s="11"/>
      <c r="AH59" s="11"/>
      <c r="AI59" s="11"/>
      <c r="AJ59" s="11"/>
      <c r="AK59" s="11"/>
      <c r="AL59" s="11"/>
      <c r="AM59" s="11"/>
      <c r="AN59" s="11"/>
      <c r="AO59" s="11"/>
      <c r="AP59" s="11"/>
      <c r="AQ59" s="11"/>
      <c r="AR59" s="11"/>
      <c r="AS59" s="225"/>
    </row>
    <row r="60" spans="1:45" s="221" customFormat="1" ht="20" customHeight="1">
      <c r="A60" s="215"/>
      <c r="B60" s="367"/>
      <c r="C60" s="223"/>
      <c r="D60" s="374"/>
      <c r="E60" s="358"/>
      <c r="F60" s="349"/>
      <c r="G60" s="350"/>
      <c r="H60" s="322"/>
      <c r="I60" s="323"/>
      <c r="J60" s="337" t="s">
        <v>397</v>
      </c>
      <c r="K60" s="336"/>
      <c r="L60" s="337"/>
      <c r="M60" s="338"/>
      <c r="N60" s="327"/>
      <c r="O60" s="328"/>
      <c r="P60" s="328"/>
      <c r="Q60" s="327"/>
      <c r="R60" s="328"/>
      <c r="S60" s="328"/>
      <c r="T60" s="339"/>
      <c r="U60" s="340"/>
      <c r="V60" s="340"/>
      <c r="W60" s="341"/>
      <c r="X60" s="342"/>
      <c r="Y60" s="320"/>
      <c r="Z60" s="328"/>
      <c r="AA60" s="328"/>
      <c r="AB60" s="11"/>
      <c r="AC60" s="217"/>
      <c r="AD60" s="218"/>
      <c r="AE60" s="219"/>
      <c r="AF60" s="11"/>
      <c r="AG60" s="11"/>
      <c r="AH60" s="11"/>
      <c r="AI60" s="11"/>
      <c r="AJ60" s="11"/>
      <c r="AK60" s="11"/>
      <c r="AL60" s="11"/>
      <c r="AM60" s="11"/>
      <c r="AN60" s="11"/>
      <c r="AO60" s="11"/>
      <c r="AP60" s="11"/>
      <c r="AQ60" s="11"/>
      <c r="AR60" s="11"/>
      <c r="AS60" s="225"/>
    </row>
    <row r="61" spans="1:45" s="221" customFormat="1" ht="20" customHeight="1">
      <c r="A61" s="215"/>
      <c r="B61" s="367"/>
      <c r="C61" s="223"/>
      <c r="D61" s="374"/>
      <c r="E61" s="358"/>
      <c r="F61" s="349"/>
      <c r="G61" s="350"/>
      <c r="H61" s="322"/>
      <c r="I61" s="323"/>
      <c r="J61" s="337" t="s">
        <v>399</v>
      </c>
      <c r="K61" s="336"/>
      <c r="L61" s="337"/>
      <c r="M61" s="338"/>
      <c r="N61" s="327"/>
      <c r="O61" s="328"/>
      <c r="P61" s="328"/>
      <c r="Q61" s="327"/>
      <c r="R61" s="328"/>
      <c r="S61" s="328"/>
      <c r="T61" s="339"/>
      <c r="U61" s="340"/>
      <c r="V61" s="340"/>
      <c r="W61" s="341"/>
      <c r="X61" s="342"/>
      <c r="Y61" s="320"/>
      <c r="Z61" s="328"/>
      <c r="AA61" s="328"/>
      <c r="AB61" s="11"/>
      <c r="AC61" s="217"/>
      <c r="AD61" s="218"/>
      <c r="AE61" s="219"/>
      <c r="AF61" s="11"/>
      <c r="AG61" s="11"/>
      <c r="AH61" s="11"/>
      <c r="AI61" s="11"/>
      <c r="AJ61" s="11"/>
      <c r="AK61" s="11"/>
      <c r="AL61" s="11"/>
      <c r="AM61" s="11"/>
      <c r="AN61" s="11"/>
      <c r="AO61" s="11"/>
      <c r="AP61" s="11"/>
      <c r="AQ61" s="11"/>
      <c r="AR61" s="11"/>
      <c r="AS61" s="225" t="str">
        <f>ヘッダ!$G$5</f>
        <v>02_単体テスト</v>
      </c>
    </row>
    <row r="62" spans="1:45" s="221" customFormat="1" ht="20" customHeight="1">
      <c r="A62" s="215"/>
      <c r="B62" s="368"/>
      <c r="C62" s="223"/>
      <c r="D62" s="374"/>
      <c r="E62" s="358"/>
      <c r="F62" s="349"/>
      <c r="G62" s="350"/>
      <c r="H62" s="322"/>
      <c r="I62" s="323"/>
      <c r="J62" s="337" t="s">
        <v>398</v>
      </c>
      <c r="K62" s="336"/>
      <c r="L62" s="337"/>
      <c r="M62" s="338"/>
      <c r="N62" s="327"/>
      <c r="O62" s="328"/>
      <c r="P62" s="328"/>
      <c r="Q62" s="327"/>
      <c r="R62" s="328"/>
      <c r="S62" s="328"/>
      <c r="T62" s="339"/>
      <c r="U62" s="340"/>
      <c r="V62" s="340"/>
      <c r="W62" s="341"/>
      <c r="X62" s="342"/>
      <c r="Y62" s="320"/>
      <c r="Z62" s="328"/>
      <c r="AA62" s="328"/>
      <c r="AB62" s="11"/>
      <c r="AC62" s="217"/>
      <c r="AD62" s="218"/>
      <c r="AE62" s="219"/>
      <c r="AF62" s="11"/>
      <c r="AG62" s="11"/>
      <c r="AH62" s="11"/>
      <c r="AI62" s="11"/>
      <c r="AJ62" s="11"/>
      <c r="AK62" s="11"/>
      <c r="AL62" s="11"/>
      <c r="AM62" s="11"/>
      <c r="AN62" s="11"/>
      <c r="AO62" s="11"/>
      <c r="AP62" s="11"/>
      <c r="AQ62" s="11"/>
      <c r="AR62" s="11"/>
      <c r="AS62" s="225"/>
    </row>
    <row r="63" spans="1:45" s="221" customFormat="1" ht="20" customHeight="1">
      <c r="A63" s="215"/>
      <c r="B63" s="366" t="str">
        <f>IF(D63="","",ヘッダ!$C$5)</f>
        <v>Social Login</v>
      </c>
      <c r="C63" s="223"/>
      <c r="D63" s="375" t="s">
        <v>374</v>
      </c>
      <c r="E63" s="358"/>
      <c r="F63" s="349"/>
      <c r="G63" s="350"/>
      <c r="H63" s="322"/>
      <c r="I63" s="323" t="s">
        <v>402</v>
      </c>
      <c r="J63" s="337" t="s">
        <v>393</v>
      </c>
      <c r="K63" s="336"/>
      <c r="L63" s="337"/>
      <c r="M63" s="338"/>
      <c r="N63" s="327"/>
      <c r="O63" s="328"/>
      <c r="P63" s="328"/>
      <c r="Q63" s="327"/>
      <c r="R63" s="328"/>
      <c r="S63" s="328"/>
      <c r="T63" s="339"/>
      <c r="U63" s="340"/>
      <c r="V63" s="340"/>
      <c r="W63" s="341"/>
      <c r="X63" s="342"/>
      <c r="Y63" s="320"/>
      <c r="Z63" s="328"/>
      <c r="AA63" s="328"/>
      <c r="AB63" s="11"/>
      <c r="AC63" s="217"/>
      <c r="AD63" s="218"/>
      <c r="AE63" s="219"/>
      <c r="AF63" s="11"/>
      <c r="AG63" s="11"/>
      <c r="AH63" s="11"/>
      <c r="AI63" s="11"/>
      <c r="AJ63" s="11"/>
      <c r="AK63" s="11"/>
      <c r="AL63" s="11"/>
      <c r="AM63" s="11"/>
      <c r="AN63" s="11"/>
      <c r="AO63" s="11"/>
      <c r="AP63" s="11"/>
      <c r="AQ63" s="11"/>
      <c r="AR63" s="11"/>
      <c r="AS63" s="225"/>
    </row>
    <row r="64" spans="1:45" s="221" customFormat="1" ht="20" customHeight="1">
      <c r="A64" s="215"/>
      <c r="B64" s="367"/>
      <c r="C64" s="223"/>
      <c r="D64" s="375"/>
      <c r="E64" s="358"/>
      <c r="F64" s="349"/>
      <c r="G64" s="350"/>
      <c r="H64" s="322"/>
      <c r="I64" s="323"/>
      <c r="J64" s="337" t="s">
        <v>394</v>
      </c>
      <c r="K64" s="336"/>
      <c r="L64" s="337"/>
      <c r="M64" s="338"/>
      <c r="N64" s="327"/>
      <c r="O64" s="328"/>
      <c r="P64" s="328"/>
      <c r="Q64" s="327"/>
      <c r="R64" s="328"/>
      <c r="S64" s="328"/>
      <c r="T64" s="339"/>
      <c r="U64" s="340"/>
      <c r="V64" s="340"/>
      <c r="W64" s="341"/>
      <c r="X64" s="342"/>
      <c r="Y64" s="320" t="s">
        <v>361</v>
      </c>
      <c r="Z64" s="328"/>
      <c r="AA64" s="328"/>
      <c r="AB64" s="11"/>
      <c r="AC64" s="217"/>
      <c r="AD64" s="218"/>
      <c r="AE64" s="219"/>
      <c r="AF64" s="11"/>
      <c r="AG64" s="11"/>
      <c r="AH64" s="11"/>
      <c r="AI64" s="11"/>
      <c r="AJ64" s="11"/>
      <c r="AK64" s="11"/>
      <c r="AL64" s="11"/>
      <c r="AM64" s="11"/>
      <c r="AN64" s="11"/>
      <c r="AO64" s="11"/>
      <c r="AP64" s="11"/>
      <c r="AQ64" s="11"/>
      <c r="AR64" s="11"/>
      <c r="AS64" s="225" t="str">
        <f>ヘッダ!$G$5</f>
        <v>02_単体テスト</v>
      </c>
    </row>
    <row r="65" spans="1:45" s="221" customFormat="1" ht="20" customHeight="1">
      <c r="A65" s="215"/>
      <c r="B65" s="367"/>
      <c r="C65" s="223"/>
      <c r="D65" s="375"/>
      <c r="E65" s="358"/>
      <c r="F65" s="349"/>
      <c r="G65" s="350"/>
      <c r="H65" s="322"/>
      <c r="I65" s="323"/>
      <c r="J65" s="337"/>
      <c r="K65" s="336"/>
      <c r="L65" s="337"/>
      <c r="M65" s="338"/>
      <c r="N65" s="327"/>
      <c r="O65" s="328"/>
      <c r="P65" s="328"/>
      <c r="Q65" s="327"/>
      <c r="R65" s="328"/>
      <c r="S65" s="328"/>
      <c r="T65" s="339"/>
      <c r="U65" s="340"/>
      <c r="V65" s="340"/>
      <c r="W65" s="341"/>
      <c r="X65" s="342"/>
      <c r="Y65" s="320"/>
      <c r="Z65" s="328"/>
      <c r="AA65" s="328"/>
      <c r="AB65" s="11"/>
      <c r="AC65" s="217"/>
      <c r="AD65" s="218"/>
      <c r="AE65" s="219"/>
      <c r="AF65" s="11"/>
      <c r="AG65" s="11"/>
      <c r="AH65" s="11"/>
      <c r="AI65" s="11"/>
      <c r="AJ65" s="11"/>
      <c r="AK65" s="11"/>
      <c r="AL65" s="11"/>
      <c r="AM65" s="11"/>
      <c r="AN65" s="11"/>
      <c r="AO65" s="11"/>
      <c r="AP65" s="11"/>
      <c r="AQ65" s="11"/>
      <c r="AR65" s="11"/>
      <c r="AS65" s="225"/>
    </row>
    <row r="66" spans="1:45" s="221" customFormat="1" ht="20" customHeight="1">
      <c r="A66" s="215"/>
      <c r="B66" s="367"/>
      <c r="C66" s="223"/>
      <c r="D66" s="375"/>
      <c r="E66" s="358"/>
      <c r="F66" s="349"/>
      <c r="G66" s="350"/>
      <c r="H66" s="322"/>
      <c r="I66" s="323"/>
      <c r="J66" s="337" t="s">
        <v>395</v>
      </c>
      <c r="K66" s="336"/>
      <c r="L66" s="337"/>
      <c r="M66" s="338"/>
      <c r="N66" s="327"/>
      <c r="O66" s="328"/>
      <c r="P66" s="328"/>
      <c r="Q66" s="327"/>
      <c r="R66" s="328"/>
      <c r="S66" s="328"/>
      <c r="T66" s="339"/>
      <c r="U66" s="340"/>
      <c r="V66" s="340"/>
      <c r="W66" s="341"/>
      <c r="X66" s="342"/>
      <c r="Y66" s="320"/>
      <c r="Z66" s="328"/>
      <c r="AA66" s="328"/>
      <c r="AB66" s="11"/>
      <c r="AC66" s="217"/>
      <c r="AD66" s="218"/>
      <c r="AE66" s="219"/>
      <c r="AF66" s="11"/>
      <c r="AG66" s="11"/>
      <c r="AH66" s="11"/>
      <c r="AI66" s="11"/>
      <c r="AJ66" s="11"/>
      <c r="AK66" s="11"/>
      <c r="AL66" s="11"/>
      <c r="AM66" s="11"/>
      <c r="AN66" s="11"/>
      <c r="AO66" s="11"/>
      <c r="AP66" s="11"/>
      <c r="AQ66" s="11"/>
      <c r="AR66" s="11"/>
      <c r="AS66" s="225"/>
    </row>
    <row r="67" spans="1:45" s="221" customFormat="1" ht="20" customHeight="1">
      <c r="A67" s="215"/>
      <c r="B67" s="367"/>
      <c r="C67" s="223"/>
      <c r="D67" s="375"/>
      <c r="E67" s="358"/>
      <c r="F67" s="349"/>
      <c r="G67" s="350"/>
      <c r="H67" s="322"/>
      <c r="I67" s="323"/>
      <c r="J67" s="337" t="s">
        <v>396</v>
      </c>
      <c r="K67" s="336"/>
      <c r="L67" s="337"/>
      <c r="M67" s="338"/>
      <c r="N67" s="327"/>
      <c r="O67" s="328"/>
      <c r="P67" s="328"/>
      <c r="Q67" s="327"/>
      <c r="R67" s="328"/>
      <c r="S67" s="328"/>
      <c r="T67" s="339"/>
      <c r="U67" s="340"/>
      <c r="V67" s="340"/>
      <c r="W67" s="341"/>
      <c r="X67" s="342"/>
      <c r="Y67" s="320"/>
      <c r="Z67" s="328"/>
      <c r="AA67" s="328"/>
      <c r="AB67" s="11"/>
      <c r="AC67" s="217"/>
      <c r="AD67" s="218"/>
      <c r="AE67" s="219"/>
      <c r="AF67" s="11"/>
      <c r="AG67" s="11"/>
      <c r="AH67" s="11"/>
      <c r="AI67" s="11"/>
      <c r="AJ67" s="11"/>
      <c r="AK67" s="11"/>
      <c r="AL67" s="11"/>
      <c r="AM67" s="11"/>
      <c r="AN67" s="11"/>
      <c r="AO67" s="11"/>
      <c r="AP67" s="11"/>
      <c r="AQ67" s="11"/>
      <c r="AR67" s="11"/>
      <c r="AS67" s="225"/>
    </row>
    <row r="68" spans="1:45" s="221" customFormat="1" ht="20" customHeight="1">
      <c r="A68" s="215"/>
      <c r="B68" s="367"/>
      <c r="C68" s="223"/>
      <c r="D68" s="375"/>
      <c r="E68" s="358"/>
      <c r="F68" s="349"/>
      <c r="G68" s="350"/>
      <c r="H68" s="322"/>
      <c r="I68" s="323"/>
      <c r="J68" s="337" t="s">
        <v>397</v>
      </c>
      <c r="K68" s="336"/>
      <c r="L68" s="337"/>
      <c r="M68" s="338"/>
      <c r="N68" s="327"/>
      <c r="O68" s="328"/>
      <c r="P68" s="328"/>
      <c r="Q68" s="327"/>
      <c r="R68" s="328"/>
      <c r="S68" s="328"/>
      <c r="T68" s="339"/>
      <c r="U68" s="340"/>
      <c r="V68" s="340"/>
      <c r="W68" s="341"/>
      <c r="X68" s="342"/>
      <c r="Y68" s="320"/>
      <c r="Z68" s="328"/>
      <c r="AA68" s="328"/>
      <c r="AB68" s="11"/>
      <c r="AC68" s="217"/>
      <c r="AD68" s="218"/>
      <c r="AE68" s="219"/>
      <c r="AF68" s="11"/>
      <c r="AG68" s="11"/>
      <c r="AH68" s="11"/>
      <c r="AI68" s="11"/>
      <c r="AJ68" s="11"/>
      <c r="AK68" s="11"/>
      <c r="AL68" s="11"/>
      <c r="AM68" s="11"/>
      <c r="AN68" s="11"/>
      <c r="AO68" s="11"/>
      <c r="AP68" s="11"/>
      <c r="AQ68" s="11"/>
      <c r="AR68" s="11"/>
      <c r="AS68" s="225"/>
    </row>
    <row r="69" spans="1:45" s="221" customFormat="1" ht="20" customHeight="1">
      <c r="A69" s="215"/>
      <c r="B69" s="367"/>
      <c r="C69" s="223"/>
      <c r="D69" s="375"/>
      <c r="E69" s="358"/>
      <c r="F69" s="349"/>
      <c r="G69" s="350"/>
      <c r="H69" s="322"/>
      <c r="I69" s="323"/>
      <c r="J69" s="337" t="s">
        <v>399</v>
      </c>
      <c r="K69" s="336"/>
      <c r="L69" s="337"/>
      <c r="M69" s="338"/>
      <c r="N69" s="327"/>
      <c r="O69" s="328"/>
      <c r="P69" s="328"/>
      <c r="Q69" s="327"/>
      <c r="R69" s="328"/>
      <c r="S69" s="328"/>
      <c r="T69" s="339"/>
      <c r="U69" s="340"/>
      <c r="V69" s="340"/>
      <c r="W69" s="341"/>
      <c r="X69" s="342"/>
      <c r="Y69" s="320"/>
      <c r="Z69" s="328"/>
      <c r="AA69" s="328"/>
      <c r="AB69" s="11"/>
      <c r="AC69" s="217"/>
      <c r="AD69" s="218"/>
      <c r="AE69" s="219"/>
      <c r="AF69" s="11"/>
      <c r="AG69" s="11"/>
      <c r="AH69" s="11"/>
      <c r="AI69" s="11"/>
      <c r="AJ69" s="11"/>
      <c r="AK69" s="11"/>
      <c r="AL69" s="11"/>
      <c r="AM69" s="11"/>
      <c r="AN69" s="11"/>
      <c r="AO69" s="11"/>
      <c r="AP69" s="11"/>
      <c r="AQ69" s="11"/>
      <c r="AR69" s="11"/>
      <c r="AS69" s="225"/>
    </row>
    <row r="70" spans="1:45" s="221" customFormat="1" ht="20" customHeight="1">
      <c r="A70" s="215"/>
      <c r="B70" s="367"/>
      <c r="C70" s="223"/>
      <c r="D70" s="375"/>
      <c r="E70" s="358"/>
      <c r="F70" s="349"/>
      <c r="G70" s="350"/>
      <c r="H70" s="322"/>
      <c r="I70" s="323"/>
      <c r="J70" s="337" t="s">
        <v>398</v>
      </c>
      <c r="K70" s="336"/>
      <c r="L70" s="337"/>
      <c r="M70" s="338"/>
      <c r="N70" s="327"/>
      <c r="O70" s="328"/>
      <c r="P70" s="328"/>
      <c r="Q70" s="327"/>
      <c r="R70" s="328"/>
      <c r="S70" s="328"/>
      <c r="T70" s="339"/>
      <c r="U70" s="340"/>
      <c r="V70" s="340"/>
      <c r="W70" s="341"/>
      <c r="X70" s="342"/>
      <c r="Y70" s="320"/>
      <c r="Z70" s="328"/>
      <c r="AA70" s="328"/>
      <c r="AB70" s="11"/>
      <c r="AC70" s="217"/>
      <c r="AD70" s="218"/>
      <c r="AE70" s="219"/>
      <c r="AF70" s="11"/>
      <c r="AG70" s="11"/>
      <c r="AH70" s="11"/>
      <c r="AI70" s="11"/>
      <c r="AJ70" s="11"/>
      <c r="AK70" s="11"/>
      <c r="AL70" s="11"/>
      <c r="AM70" s="11"/>
      <c r="AN70" s="11"/>
      <c r="AO70" s="11"/>
      <c r="AP70" s="11"/>
      <c r="AQ70" s="11"/>
      <c r="AR70" s="11"/>
      <c r="AS70" s="225"/>
    </row>
    <row r="71" spans="1:45" s="221" customFormat="1" ht="20" customHeight="1">
      <c r="A71" s="215"/>
      <c r="B71" s="368"/>
      <c r="C71" s="223"/>
      <c r="D71" s="375"/>
      <c r="E71" s="358"/>
      <c r="F71" s="349"/>
      <c r="G71" s="350"/>
      <c r="H71" s="322"/>
      <c r="I71" s="323"/>
      <c r="J71" s="337"/>
      <c r="K71" s="336"/>
      <c r="L71" s="337"/>
      <c r="M71" s="338"/>
      <c r="N71" s="327"/>
      <c r="O71" s="328"/>
      <c r="P71" s="328"/>
      <c r="Q71" s="327"/>
      <c r="R71" s="328"/>
      <c r="S71" s="328"/>
      <c r="T71" s="339"/>
      <c r="U71" s="340"/>
      <c r="V71" s="340"/>
      <c r="W71" s="341"/>
      <c r="X71" s="342"/>
      <c r="Y71" s="320"/>
      <c r="Z71" s="328"/>
      <c r="AA71" s="328"/>
      <c r="AB71" s="11"/>
      <c r="AC71" s="217"/>
      <c r="AD71" s="218"/>
      <c r="AE71" s="219"/>
      <c r="AF71" s="11"/>
      <c r="AG71" s="11"/>
      <c r="AH71" s="11"/>
      <c r="AI71" s="11"/>
      <c r="AJ71" s="11"/>
      <c r="AK71" s="11"/>
      <c r="AL71" s="11"/>
      <c r="AM71" s="11"/>
      <c r="AN71" s="11"/>
      <c r="AO71" s="11"/>
      <c r="AP71" s="11"/>
      <c r="AQ71" s="11"/>
      <c r="AR71" s="11"/>
      <c r="AS71" s="225" t="str">
        <f>ヘッダ!$G$5</f>
        <v>02_単体テスト</v>
      </c>
    </row>
    <row r="72" spans="1:45" s="221" customFormat="1" ht="20" customHeight="1">
      <c r="A72" s="215"/>
      <c r="B72" s="366" t="str">
        <f>IF(D72="","",ヘッダ!$C$5)</f>
        <v>Social Login</v>
      </c>
      <c r="C72" s="223"/>
      <c r="D72" s="374" t="s">
        <v>375</v>
      </c>
      <c r="E72" s="358"/>
      <c r="F72" s="351" t="s">
        <v>362</v>
      </c>
      <c r="G72" s="352"/>
      <c r="H72" s="322" t="s">
        <v>403</v>
      </c>
      <c r="I72" s="322" t="s">
        <v>404</v>
      </c>
      <c r="J72" s="321" t="s">
        <v>424</v>
      </c>
      <c r="K72" s="336"/>
      <c r="L72" s="337"/>
      <c r="M72" s="338"/>
      <c r="N72" s="327"/>
      <c r="O72" s="328"/>
      <c r="P72" s="328"/>
      <c r="Q72" s="327"/>
      <c r="R72" s="328"/>
      <c r="S72" s="328"/>
      <c r="T72" s="339"/>
      <c r="U72" s="340"/>
      <c r="V72" s="340"/>
      <c r="W72" s="341"/>
      <c r="X72" s="342"/>
      <c r="Y72" s="320"/>
      <c r="Z72" s="328"/>
      <c r="AA72" s="328"/>
      <c r="AB72" s="11"/>
      <c r="AC72" s="217"/>
      <c r="AD72" s="218"/>
      <c r="AE72" s="219"/>
      <c r="AF72" s="11"/>
      <c r="AG72" s="11"/>
      <c r="AH72" s="11"/>
      <c r="AI72" s="11"/>
      <c r="AJ72" s="11"/>
      <c r="AK72" s="11"/>
      <c r="AL72" s="11"/>
      <c r="AM72" s="11"/>
      <c r="AN72" s="11"/>
      <c r="AO72" s="11"/>
      <c r="AP72" s="11"/>
      <c r="AQ72" s="11"/>
      <c r="AR72" s="11"/>
      <c r="AS72" s="225" t="str">
        <f>ヘッダ!$G$5</f>
        <v>02_単体テスト</v>
      </c>
    </row>
    <row r="73" spans="1:45" s="221" customFormat="1" ht="20" customHeight="1">
      <c r="A73" s="215"/>
      <c r="B73" s="367"/>
      <c r="C73" s="223"/>
      <c r="D73" s="374"/>
      <c r="E73" s="358"/>
      <c r="F73" s="353"/>
      <c r="G73" s="354"/>
      <c r="H73" s="322"/>
      <c r="I73" s="322"/>
      <c r="J73" s="321" t="s">
        <v>423</v>
      </c>
      <c r="K73" s="336"/>
      <c r="L73" s="337"/>
      <c r="M73" s="338"/>
      <c r="N73" s="327"/>
      <c r="O73" s="328"/>
      <c r="P73" s="328"/>
      <c r="Q73" s="327"/>
      <c r="R73" s="328"/>
      <c r="S73" s="328"/>
      <c r="T73" s="339"/>
      <c r="U73" s="340"/>
      <c r="V73" s="340"/>
      <c r="W73" s="341"/>
      <c r="X73" s="342"/>
      <c r="Y73" s="320"/>
      <c r="Z73" s="328"/>
      <c r="AA73" s="328"/>
      <c r="AB73" s="11"/>
      <c r="AC73" s="217"/>
      <c r="AD73" s="218"/>
      <c r="AE73" s="219"/>
      <c r="AF73" s="11"/>
      <c r="AG73" s="11"/>
      <c r="AH73" s="11"/>
      <c r="AI73" s="11"/>
      <c r="AJ73" s="11"/>
      <c r="AK73" s="11"/>
      <c r="AL73" s="11"/>
      <c r="AM73" s="11"/>
      <c r="AN73" s="11"/>
      <c r="AO73" s="11"/>
      <c r="AP73" s="11"/>
      <c r="AQ73" s="11"/>
      <c r="AR73" s="11"/>
      <c r="AS73" s="225"/>
    </row>
    <row r="74" spans="1:45" s="221" customFormat="1" ht="20" customHeight="1">
      <c r="A74" s="215"/>
      <c r="B74" s="367"/>
      <c r="C74" s="223"/>
      <c r="D74" s="374"/>
      <c r="E74" s="358"/>
      <c r="F74" s="353"/>
      <c r="G74" s="354"/>
      <c r="H74" s="322"/>
      <c r="I74" s="322"/>
      <c r="K74" s="336"/>
      <c r="L74" s="337"/>
      <c r="M74" s="338"/>
      <c r="N74" s="327"/>
      <c r="O74" s="328"/>
      <c r="P74" s="328"/>
      <c r="Q74" s="327"/>
      <c r="R74" s="328"/>
      <c r="S74" s="328"/>
      <c r="T74" s="339"/>
      <c r="U74" s="340"/>
      <c r="V74" s="340"/>
      <c r="W74" s="341"/>
      <c r="X74" s="342"/>
      <c r="Y74" s="320"/>
      <c r="Z74" s="328"/>
      <c r="AA74" s="328"/>
      <c r="AB74" s="11"/>
      <c r="AC74" s="217"/>
      <c r="AD74" s="218"/>
      <c r="AE74" s="219"/>
      <c r="AF74" s="11"/>
      <c r="AG74" s="11"/>
      <c r="AH74" s="11"/>
      <c r="AI74" s="11"/>
      <c r="AJ74" s="11"/>
      <c r="AK74" s="11"/>
      <c r="AL74" s="11"/>
      <c r="AM74" s="11"/>
      <c r="AN74" s="11"/>
      <c r="AO74" s="11"/>
      <c r="AP74" s="11"/>
      <c r="AQ74" s="11"/>
      <c r="AR74" s="11"/>
      <c r="AS74" s="225"/>
    </row>
    <row r="75" spans="1:45" s="221" customFormat="1" ht="20" customHeight="1">
      <c r="A75" s="215"/>
      <c r="B75" s="367"/>
      <c r="C75" s="223"/>
      <c r="D75" s="374"/>
      <c r="E75" s="358"/>
      <c r="F75" s="353"/>
      <c r="G75" s="354"/>
      <c r="H75" s="322"/>
      <c r="I75" s="322"/>
      <c r="J75" s="321"/>
      <c r="K75" s="336"/>
      <c r="L75" s="337"/>
      <c r="M75" s="338"/>
      <c r="N75" s="327"/>
      <c r="O75" s="328"/>
      <c r="P75" s="328"/>
      <c r="Q75" s="327"/>
      <c r="R75" s="328"/>
      <c r="S75" s="328"/>
      <c r="T75" s="339"/>
      <c r="U75" s="340"/>
      <c r="V75" s="340"/>
      <c r="W75" s="341"/>
      <c r="X75" s="342"/>
      <c r="Y75" s="320"/>
      <c r="Z75" s="328"/>
      <c r="AA75" s="328"/>
      <c r="AB75" s="11"/>
      <c r="AC75" s="217"/>
      <c r="AD75" s="218"/>
      <c r="AE75" s="219"/>
      <c r="AF75" s="11"/>
      <c r="AG75" s="11"/>
      <c r="AH75" s="11"/>
      <c r="AI75" s="11"/>
      <c r="AJ75" s="11"/>
      <c r="AK75" s="11"/>
      <c r="AL75" s="11"/>
      <c r="AM75" s="11"/>
      <c r="AN75" s="11"/>
      <c r="AO75" s="11"/>
      <c r="AP75" s="11"/>
      <c r="AQ75" s="11"/>
      <c r="AR75" s="11"/>
      <c r="AS75" s="225"/>
    </row>
    <row r="76" spans="1:45" s="221" customFormat="1" ht="20" customHeight="1">
      <c r="A76" s="215"/>
      <c r="B76" s="367"/>
      <c r="C76" s="223"/>
      <c r="D76" s="374"/>
      <c r="E76" s="358"/>
      <c r="F76" s="353"/>
      <c r="G76" s="354"/>
      <c r="H76" s="322"/>
      <c r="I76" s="322"/>
      <c r="J76" s="321"/>
      <c r="K76" s="336"/>
      <c r="L76" s="337"/>
      <c r="M76" s="338"/>
      <c r="N76" s="327"/>
      <c r="O76" s="328"/>
      <c r="P76" s="328"/>
      <c r="Q76" s="327"/>
      <c r="R76" s="328"/>
      <c r="S76" s="328"/>
      <c r="T76" s="339"/>
      <c r="U76" s="340"/>
      <c r="V76" s="340"/>
      <c r="W76" s="341"/>
      <c r="X76" s="342"/>
      <c r="Y76" s="320"/>
      <c r="Z76" s="328"/>
      <c r="AA76" s="328"/>
      <c r="AB76" s="11"/>
      <c r="AC76" s="217"/>
      <c r="AD76" s="218"/>
      <c r="AE76" s="219"/>
      <c r="AF76" s="11"/>
      <c r="AG76" s="11"/>
      <c r="AH76" s="11"/>
      <c r="AI76" s="11"/>
      <c r="AJ76" s="11"/>
      <c r="AK76" s="11"/>
      <c r="AL76" s="11"/>
      <c r="AM76" s="11"/>
      <c r="AN76" s="11"/>
      <c r="AO76" s="11"/>
      <c r="AP76" s="11"/>
      <c r="AQ76" s="11"/>
      <c r="AR76" s="11"/>
      <c r="AS76" s="225"/>
    </row>
    <row r="77" spans="1:45" s="221" customFormat="1" ht="20" customHeight="1">
      <c r="A77" s="215"/>
      <c r="B77" s="367"/>
      <c r="C77" s="223"/>
      <c r="D77" s="374"/>
      <c r="E77" s="358"/>
      <c r="F77" s="353"/>
      <c r="G77" s="354"/>
      <c r="H77" s="322"/>
      <c r="I77" s="322"/>
      <c r="J77" s="321"/>
      <c r="K77" s="336"/>
      <c r="L77" s="337"/>
      <c r="M77" s="338"/>
      <c r="N77" s="327"/>
      <c r="O77" s="328"/>
      <c r="P77" s="328"/>
      <c r="Q77" s="327"/>
      <c r="R77" s="328"/>
      <c r="S77" s="328"/>
      <c r="T77" s="339"/>
      <c r="U77" s="340"/>
      <c r="V77" s="340"/>
      <c r="W77" s="341"/>
      <c r="X77" s="342"/>
      <c r="Y77" s="320"/>
      <c r="Z77" s="328"/>
      <c r="AA77" s="328"/>
      <c r="AB77" s="11"/>
      <c r="AC77" s="217"/>
      <c r="AD77" s="218"/>
      <c r="AE77" s="219"/>
      <c r="AF77" s="11"/>
      <c r="AG77" s="11"/>
      <c r="AH77" s="11"/>
      <c r="AI77" s="11"/>
      <c r="AJ77" s="11"/>
      <c r="AK77" s="11"/>
      <c r="AL77" s="11"/>
      <c r="AM77" s="11"/>
      <c r="AN77" s="11"/>
      <c r="AO77" s="11"/>
      <c r="AP77" s="11"/>
      <c r="AQ77" s="11"/>
      <c r="AR77" s="11"/>
      <c r="AS77" s="225"/>
    </row>
    <row r="78" spans="1:45" s="221" customFormat="1" ht="20" customHeight="1">
      <c r="A78" s="215"/>
      <c r="B78" s="367"/>
      <c r="C78" s="223"/>
      <c r="D78" s="374"/>
      <c r="E78" s="358"/>
      <c r="F78" s="353"/>
      <c r="G78" s="354"/>
      <c r="H78" s="322"/>
      <c r="I78" s="322"/>
      <c r="J78" s="321"/>
      <c r="K78" s="336"/>
      <c r="L78" s="337"/>
      <c r="M78" s="338"/>
      <c r="N78" s="327"/>
      <c r="O78" s="328"/>
      <c r="P78" s="328"/>
      <c r="Q78" s="327"/>
      <c r="R78" s="328"/>
      <c r="S78" s="328"/>
      <c r="T78" s="339"/>
      <c r="U78" s="340"/>
      <c r="V78" s="340"/>
      <c r="W78" s="341"/>
      <c r="X78" s="342"/>
      <c r="Y78" s="320"/>
      <c r="Z78" s="328"/>
      <c r="AA78" s="328"/>
      <c r="AB78" s="11"/>
      <c r="AC78" s="217"/>
      <c r="AD78" s="218"/>
      <c r="AE78" s="219"/>
      <c r="AF78" s="11"/>
      <c r="AG78" s="11"/>
      <c r="AH78" s="11"/>
      <c r="AI78" s="11"/>
      <c r="AJ78" s="11"/>
      <c r="AK78" s="11"/>
      <c r="AL78" s="11"/>
      <c r="AM78" s="11"/>
      <c r="AN78" s="11"/>
      <c r="AO78" s="11"/>
      <c r="AP78" s="11"/>
      <c r="AQ78" s="11"/>
      <c r="AR78" s="11"/>
      <c r="AS78" s="225"/>
    </row>
    <row r="79" spans="1:45" s="221" customFormat="1" ht="20" customHeight="1">
      <c r="A79" s="215"/>
      <c r="B79" s="368"/>
      <c r="C79" s="223"/>
      <c r="D79" s="374"/>
      <c r="E79" s="358"/>
      <c r="F79" s="353"/>
      <c r="G79" s="354"/>
      <c r="H79" s="322"/>
      <c r="I79" s="322"/>
      <c r="J79" s="321"/>
      <c r="K79" s="336"/>
      <c r="L79" s="337"/>
      <c r="M79" s="338"/>
      <c r="N79" s="327"/>
      <c r="O79" s="328"/>
      <c r="P79" s="328"/>
      <c r="Q79" s="327"/>
      <c r="R79" s="328"/>
      <c r="S79" s="328"/>
      <c r="T79" s="339"/>
      <c r="U79" s="340"/>
      <c r="V79" s="340"/>
      <c r="W79" s="341"/>
      <c r="X79" s="342"/>
      <c r="Y79" s="320"/>
      <c r="Z79" s="328"/>
      <c r="AA79" s="328"/>
      <c r="AB79" s="11"/>
      <c r="AC79" s="217"/>
      <c r="AD79" s="218"/>
      <c r="AE79" s="219"/>
      <c r="AF79" s="11"/>
      <c r="AG79" s="11"/>
      <c r="AH79" s="11"/>
      <c r="AI79" s="11"/>
      <c r="AJ79" s="11"/>
      <c r="AK79" s="11"/>
      <c r="AL79" s="11"/>
      <c r="AM79" s="11"/>
      <c r="AN79" s="11"/>
      <c r="AO79" s="11"/>
      <c r="AP79" s="11"/>
      <c r="AQ79" s="11"/>
      <c r="AR79" s="11"/>
      <c r="AS79" s="225"/>
    </row>
    <row r="80" spans="1:45" s="221" customFormat="1" ht="20" customHeight="1">
      <c r="A80" s="215"/>
      <c r="B80" s="366" t="str">
        <f>IF(D80="","",ヘッダ!$C$5)</f>
        <v>Social Login</v>
      </c>
      <c r="C80" s="223"/>
      <c r="D80" s="374" t="s">
        <v>363</v>
      </c>
      <c r="E80" s="358"/>
      <c r="F80" s="353"/>
      <c r="G80" s="354"/>
      <c r="H80" s="322"/>
      <c r="I80" s="322" t="s">
        <v>400</v>
      </c>
      <c r="J80" s="337" t="s">
        <v>393</v>
      </c>
      <c r="K80" s="336"/>
      <c r="L80" s="337"/>
      <c r="M80" s="338"/>
      <c r="N80" s="327"/>
      <c r="O80" s="328"/>
      <c r="P80" s="328"/>
      <c r="Q80" s="327"/>
      <c r="R80" s="328"/>
      <c r="S80" s="328"/>
      <c r="T80" s="339"/>
      <c r="U80" s="340"/>
      <c r="V80" s="340"/>
      <c r="W80" s="341"/>
      <c r="X80" s="342"/>
      <c r="Y80" s="320"/>
      <c r="Z80" s="328"/>
      <c r="AA80" s="328"/>
      <c r="AB80" s="11"/>
      <c r="AC80" s="217"/>
      <c r="AD80" s="218"/>
      <c r="AE80" s="219"/>
      <c r="AF80" s="11"/>
      <c r="AG80" s="11"/>
      <c r="AH80" s="11"/>
      <c r="AI80" s="11"/>
      <c r="AJ80" s="11"/>
      <c r="AK80" s="11"/>
      <c r="AL80" s="11"/>
      <c r="AM80" s="11"/>
      <c r="AN80" s="11"/>
      <c r="AO80" s="11"/>
      <c r="AP80" s="11"/>
      <c r="AQ80" s="11"/>
      <c r="AR80" s="11"/>
      <c r="AS80" s="225"/>
    </row>
    <row r="81" spans="1:45" s="221" customFormat="1" ht="20" customHeight="1">
      <c r="A81" s="215"/>
      <c r="B81" s="367"/>
      <c r="C81" s="223"/>
      <c r="D81" s="374"/>
      <c r="E81" s="358"/>
      <c r="F81" s="353"/>
      <c r="G81" s="354"/>
      <c r="H81" s="322"/>
      <c r="I81" s="322"/>
      <c r="J81" s="337" t="s">
        <v>394</v>
      </c>
      <c r="K81" s="336"/>
      <c r="L81" s="337"/>
      <c r="M81" s="338"/>
      <c r="N81" s="327"/>
      <c r="O81" s="328"/>
      <c r="P81" s="328"/>
      <c r="Q81" s="327"/>
      <c r="R81" s="328"/>
      <c r="S81" s="328"/>
      <c r="T81" s="339"/>
      <c r="U81" s="340"/>
      <c r="V81" s="340"/>
      <c r="W81" s="341"/>
      <c r="X81" s="342"/>
      <c r="Y81" s="320"/>
      <c r="Z81" s="328"/>
      <c r="AA81" s="328"/>
      <c r="AB81" s="11"/>
      <c r="AC81" s="217"/>
      <c r="AD81" s="218"/>
      <c r="AE81" s="219"/>
      <c r="AF81" s="11"/>
      <c r="AG81" s="11"/>
      <c r="AH81" s="11"/>
      <c r="AI81" s="11"/>
      <c r="AJ81" s="11"/>
      <c r="AK81" s="11"/>
      <c r="AL81" s="11"/>
      <c r="AM81" s="11"/>
      <c r="AN81" s="11"/>
      <c r="AO81" s="11"/>
      <c r="AP81" s="11"/>
      <c r="AQ81" s="11"/>
      <c r="AR81" s="11"/>
      <c r="AS81" s="225"/>
    </row>
    <row r="82" spans="1:45" s="221" customFormat="1" ht="20" customHeight="1">
      <c r="A82" s="215"/>
      <c r="B82" s="367"/>
      <c r="C82" s="223"/>
      <c r="D82" s="374"/>
      <c r="E82" s="358"/>
      <c r="F82" s="353"/>
      <c r="G82" s="354"/>
      <c r="H82" s="322"/>
      <c r="I82" s="322"/>
      <c r="J82" s="337" t="s">
        <v>395</v>
      </c>
      <c r="K82" s="336"/>
      <c r="L82" s="337"/>
      <c r="M82" s="338"/>
      <c r="N82" s="327"/>
      <c r="O82" s="328"/>
      <c r="P82" s="328"/>
      <c r="Q82" s="327"/>
      <c r="R82" s="328"/>
      <c r="S82" s="328"/>
      <c r="T82" s="339"/>
      <c r="U82" s="340"/>
      <c r="V82" s="340"/>
      <c r="W82" s="341"/>
      <c r="X82" s="342"/>
      <c r="Y82" s="320"/>
      <c r="Z82" s="328"/>
      <c r="AA82" s="328"/>
      <c r="AB82" s="11"/>
      <c r="AC82" s="217"/>
      <c r="AD82" s="218"/>
      <c r="AE82" s="219"/>
      <c r="AF82" s="11"/>
      <c r="AG82" s="11"/>
      <c r="AH82" s="11"/>
      <c r="AI82" s="11"/>
      <c r="AJ82" s="11"/>
      <c r="AK82" s="11"/>
      <c r="AL82" s="11"/>
      <c r="AM82" s="11"/>
      <c r="AN82" s="11"/>
      <c r="AO82" s="11"/>
      <c r="AP82" s="11"/>
      <c r="AQ82" s="11"/>
      <c r="AR82" s="11"/>
      <c r="AS82" s="225"/>
    </row>
    <row r="83" spans="1:45" s="221" customFormat="1" ht="20" customHeight="1">
      <c r="A83" s="215"/>
      <c r="B83" s="367"/>
      <c r="C83" s="223"/>
      <c r="D83" s="374"/>
      <c r="E83" s="358"/>
      <c r="F83" s="353"/>
      <c r="G83" s="354"/>
      <c r="H83" s="322"/>
      <c r="I83" s="322"/>
      <c r="J83" s="337" t="s">
        <v>396</v>
      </c>
      <c r="K83" s="336"/>
      <c r="L83" s="337"/>
      <c r="M83" s="338"/>
      <c r="N83" s="327"/>
      <c r="O83" s="328"/>
      <c r="P83" s="328"/>
      <c r="Q83" s="327"/>
      <c r="R83" s="328"/>
      <c r="S83" s="328"/>
      <c r="T83" s="339"/>
      <c r="U83" s="340"/>
      <c r="V83" s="340"/>
      <c r="W83" s="341"/>
      <c r="X83" s="342"/>
      <c r="Y83" s="320"/>
      <c r="Z83" s="328"/>
      <c r="AA83" s="328"/>
      <c r="AB83" s="11"/>
      <c r="AC83" s="217"/>
      <c r="AD83" s="218"/>
      <c r="AE83" s="219"/>
      <c r="AF83" s="11"/>
      <c r="AG83" s="11"/>
      <c r="AH83" s="11"/>
      <c r="AI83" s="11"/>
      <c r="AJ83" s="11"/>
      <c r="AK83" s="11"/>
      <c r="AL83" s="11"/>
      <c r="AM83" s="11"/>
      <c r="AN83" s="11"/>
      <c r="AO83" s="11"/>
      <c r="AP83" s="11"/>
      <c r="AQ83" s="11"/>
      <c r="AR83" s="11"/>
      <c r="AS83" s="225"/>
    </row>
    <row r="84" spans="1:45" s="221" customFormat="1" ht="20" customHeight="1">
      <c r="A84" s="215"/>
      <c r="B84" s="367"/>
      <c r="C84" s="223"/>
      <c r="D84" s="374"/>
      <c r="E84" s="358"/>
      <c r="F84" s="353"/>
      <c r="G84" s="354"/>
      <c r="H84" s="322"/>
      <c r="I84" s="322"/>
      <c r="J84" s="337" t="s">
        <v>397</v>
      </c>
      <c r="K84" s="336"/>
      <c r="L84" s="337"/>
      <c r="M84" s="338"/>
      <c r="N84" s="327"/>
      <c r="O84" s="328"/>
      <c r="P84" s="328"/>
      <c r="Q84" s="327"/>
      <c r="R84" s="328"/>
      <c r="S84" s="328"/>
      <c r="T84" s="339"/>
      <c r="U84" s="340"/>
      <c r="V84" s="340"/>
      <c r="W84" s="341"/>
      <c r="X84" s="342"/>
      <c r="Y84" s="320"/>
      <c r="Z84" s="328"/>
      <c r="AA84" s="328"/>
      <c r="AB84" s="11"/>
      <c r="AC84" s="217"/>
      <c r="AD84" s="218"/>
      <c r="AE84" s="219"/>
      <c r="AF84" s="11"/>
      <c r="AG84" s="11"/>
      <c r="AH84" s="11"/>
      <c r="AI84" s="11"/>
      <c r="AJ84" s="11"/>
      <c r="AK84" s="11"/>
      <c r="AL84" s="11"/>
      <c r="AM84" s="11"/>
      <c r="AN84" s="11"/>
      <c r="AO84" s="11"/>
      <c r="AP84" s="11"/>
      <c r="AQ84" s="11"/>
      <c r="AR84" s="11"/>
      <c r="AS84" s="225"/>
    </row>
    <row r="85" spans="1:45" s="221" customFormat="1" ht="20" customHeight="1">
      <c r="A85" s="215"/>
      <c r="B85" s="367"/>
      <c r="C85" s="223"/>
      <c r="D85" s="374"/>
      <c r="E85" s="358"/>
      <c r="F85" s="353"/>
      <c r="G85" s="354"/>
      <c r="H85" s="322"/>
      <c r="I85" s="322"/>
      <c r="J85" s="337" t="s">
        <v>399</v>
      </c>
      <c r="K85" s="336"/>
      <c r="L85" s="337"/>
      <c r="M85" s="338"/>
      <c r="N85" s="327"/>
      <c r="O85" s="328"/>
      <c r="P85" s="328"/>
      <c r="Q85" s="327"/>
      <c r="R85" s="328"/>
      <c r="S85" s="328"/>
      <c r="T85" s="339"/>
      <c r="U85" s="340"/>
      <c r="V85" s="340"/>
      <c r="W85" s="341"/>
      <c r="X85" s="342"/>
      <c r="Y85" s="320"/>
      <c r="Z85" s="328"/>
      <c r="AA85" s="328"/>
      <c r="AB85" s="11"/>
      <c r="AC85" s="217"/>
      <c r="AD85" s="218"/>
      <c r="AE85" s="219"/>
      <c r="AF85" s="11"/>
      <c r="AG85" s="11"/>
      <c r="AH85" s="11"/>
      <c r="AI85" s="11"/>
      <c r="AJ85" s="11"/>
      <c r="AK85" s="11"/>
      <c r="AL85" s="11"/>
      <c r="AM85" s="11"/>
      <c r="AN85" s="11"/>
      <c r="AO85" s="11"/>
      <c r="AP85" s="11"/>
      <c r="AQ85" s="11"/>
      <c r="AR85" s="11"/>
      <c r="AS85" s="225"/>
    </row>
    <row r="86" spans="1:45" s="221" customFormat="1" ht="20" customHeight="1">
      <c r="A86" s="215"/>
      <c r="B86" s="368"/>
      <c r="C86" s="223"/>
      <c r="D86" s="374"/>
      <c r="E86" s="358"/>
      <c r="F86" s="353"/>
      <c r="G86" s="354"/>
      <c r="H86" s="322"/>
      <c r="I86" s="322"/>
      <c r="J86" s="337" t="s">
        <v>398</v>
      </c>
      <c r="K86" s="336"/>
      <c r="L86" s="337"/>
      <c r="M86" s="338"/>
      <c r="N86" s="327"/>
      <c r="O86" s="328"/>
      <c r="P86" s="328"/>
      <c r="Q86" s="327"/>
      <c r="R86" s="328"/>
      <c r="S86" s="328"/>
      <c r="T86" s="339"/>
      <c r="U86" s="340"/>
      <c r="V86" s="340"/>
      <c r="W86" s="341"/>
      <c r="X86" s="342"/>
      <c r="Y86" s="320"/>
      <c r="Z86" s="328"/>
      <c r="AA86" s="328"/>
      <c r="AB86" s="11"/>
      <c r="AC86" s="217"/>
      <c r="AD86" s="218"/>
      <c r="AE86" s="219"/>
      <c r="AF86" s="11"/>
      <c r="AG86" s="11"/>
      <c r="AH86" s="11"/>
      <c r="AI86" s="11"/>
      <c r="AJ86" s="11"/>
      <c r="AK86" s="11"/>
      <c r="AL86" s="11"/>
      <c r="AM86" s="11"/>
      <c r="AN86" s="11"/>
      <c r="AO86" s="11"/>
      <c r="AP86" s="11"/>
      <c r="AQ86" s="11"/>
      <c r="AR86" s="11"/>
      <c r="AS86" s="225"/>
    </row>
    <row r="87" spans="1:45" s="221" customFormat="1" ht="20" customHeight="1">
      <c r="A87" s="215"/>
      <c r="B87" s="366" t="str">
        <f>IF(D87="","",ヘッダ!$C$5)</f>
        <v>Social Login</v>
      </c>
      <c r="C87" s="223"/>
      <c r="D87" s="374" t="s">
        <v>364</v>
      </c>
      <c r="E87" s="358"/>
      <c r="F87" s="353"/>
      <c r="G87" s="354"/>
      <c r="H87" s="322"/>
      <c r="I87" s="322" t="s">
        <v>401</v>
      </c>
      <c r="J87" s="337" t="s">
        <v>393</v>
      </c>
      <c r="K87" s="336"/>
      <c r="L87" s="337"/>
      <c r="M87" s="338"/>
      <c r="N87" s="327"/>
      <c r="O87" s="328"/>
      <c r="P87" s="328"/>
      <c r="Q87" s="327"/>
      <c r="R87" s="328"/>
      <c r="S87" s="328"/>
      <c r="T87" s="339"/>
      <c r="U87" s="340"/>
      <c r="V87" s="340"/>
      <c r="W87" s="341"/>
      <c r="X87" s="342"/>
      <c r="Y87" s="320"/>
      <c r="Z87" s="328"/>
      <c r="AA87" s="328"/>
      <c r="AB87" s="11"/>
      <c r="AC87" s="217"/>
      <c r="AD87" s="218"/>
      <c r="AE87" s="219"/>
      <c r="AF87" s="11"/>
      <c r="AG87" s="11"/>
      <c r="AH87" s="11"/>
      <c r="AI87" s="11"/>
      <c r="AJ87" s="11"/>
      <c r="AK87" s="11"/>
      <c r="AL87" s="11"/>
      <c r="AM87" s="11"/>
      <c r="AN87" s="11"/>
      <c r="AO87" s="11"/>
      <c r="AP87" s="11"/>
      <c r="AQ87" s="11"/>
      <c r="AR87" s="11"/>
      <c r="AS87" s="225"/>
    </row>
    <row r="88" spans="1:45" s="221" customFormat="1" ht="20" customHeight="1">
      <c r="A88" s="215"/>
      <c r="B88" s="367"/>
      <c r="C88" s="223"/>
      <c r="D88" s="374"/>
      <c r="E88" s="358"/>
      <c r="F88" s="353"/>
      <c r="G88" s="354"/>
      <c r="H88" s="322"/>
      <c r="I88" s="322"/>
      <c r="J88" s="337" t="s">
        <v>394</v>
      </c>
      <c r="K88" s="336"/>
      <c r="L88" s="337"/>
      <c r="M88" s="338"/>
      <c r="N88" s="327"/>
      <c r="O88" s="328"/>
      <c r="P88" s="328"/>
      <c r="Q88" s="327"/>
      <c r="R88" s="328"/>
      <c r="S88" s="328"/>
      <c r="T88" s="339"/>
      <c r="U88" s="340"/>
      <c r="V88" s="340"/>
      <c r="W88" s="341"/>
      <c r="X88" s="342"/>
      <c r="Y88" s="320"/>
      <c r="Z88" s="328"/>
      <c r="AA88" s="328"/>
      <c r="AB88" s="11"/>
      <c r="AC88" s="217"/>
      <c r="AD88" s="218"/>
      <c r="AE88" s="219"/>
      <c r="AF88" s="11"/>
      <c r="AG88" s="11"/>
      <c r="AH88" s="11"/>
      <c r="AI88" s="11"/>
      <c r="AJ88" s="11"/>
      <c r="AK88" s="11"/>
      <c r="AL88" s="11"/>
      <c r="AM88" s="11"/>
      <c r="AN88" s="11"/>
      <c r="AO88" s="11"/>
      <c r="AP88" s="11"/>
      <c r="AQ88" s="11"/>
      <c r="AR88" s="11"/>
      <c r="AS88" s="225"/>
    </row>
    <row r="89" spans="1:45" s="221" customFormat="1" ht="20" customHeight="1">
      <c r="A89" s="215"/>
      <c r="B89" s="367"/>
      <c r="C89" s="223"/>
      <c r="D89" s="374"/>
      <c r="E89" s="358"/>
      <c r="F89" s="353"/>
      <c r="G89" s="354"/>
      <c r="H89" s="322"/>
      <c r="I89" s="322"/>
      <c r="J89" s="337" t="s">
        <v>395</v>
      </c>
      <c r="K89" s="336"/>
      <c r="L89" s="337"/>
      <c r="M89" s="338"/>
      <c r="N89" s="327"/>
      <c r="O89" s="328"/>
      <c r="P89" s="328"/>
      <c r="Q89" s="327"/>
      <c r="R89" s="328"/>
      <c r="S89" s="328"/>
      <c r="T89" s="339"/>
      <c r="U89" s="340"/>
      <c r="V89" s="340"/>
      <c r="W89" s="341"/>
      <c r="X89" s="342"/>
      <c r="Y89" s="320"/>
      <c r="Z89" s="328"/>
      <c r="AA89" s="328"/>
      <c r="AB89" s="11"/>
      <c r="AC89" s="217"/>
      <c r="AD89" s="218"/>
      <c r="AE89" s="219"/>
      <c r="AF89" s="11"/>
      <c r="AG89" s="11"/>
      <c r="AH89" s="11"/>
      <c r="AI89" s="11"/>
      <c r="AJ89" s="11"/>
      <c r="AK89" s="11"/>
      <c r="AL89" s="11"/>
      <c r="AM89" s="11"/>
      <c r="AN89" s="11"/>
      <c r="AO89" s="11"/>
      <c r="AP89" s="11"/>
      <c r="AQ89" s="11"/>
      <c r="AR89" s="11"/>
      <c r="AS89" s="225"/>
    </row>
    <row r="90" spans="1:45" s="221" customFormat="1" ht="20" customHeight="1">
      <c r="A90" s="215"/>
      <c r="B90" s="367"/>
      <c r="C90" s="223"/>
      <c r="D90" s="374"/>
      <c r="E90" s="358"/>
      <c r="F90" s="353"/>
      <c r="G90" s="354"/>
      <c r="H90" s="322"/>
      <c r="I90" s="322"/>
      <c r="J90" s="337" t="s">
        <v>396</v>
      </c>
      <c r="K90" s="336"/>
      <c r="L90" s="337"/>
      <c r="M90" s="338"/>
      <c r="N90" s="327"/>
      <c r="O90" s="328"/>
      <c r="P90" s="328"/>
      <c r="Q90" s="327"/>
      <c r="R90" s="328"/>
      <c r="S90" s="328"/>
      <c r="T90" s="339"/>
      <c r="U90" s="340"/>
      <c r="V90" s="340"/>
      <c r="W90" s="341"/>
      <c r="X90" s="342"/>
      <c r="Y90" s="320"/>
      <c r="Z90" s="328"/>
      <c r="AA90" s="328"/>
      <c r="AB90" s="11"/>
      <c r="AC90" s="217"/>
      <c r="AD90" s="218"/>
      <c r="AE90" s="219"/>
      <c r="AF90" s="11"/>
      <c r="AG90" s="11"/>
      <c r="AH90" s="11"/>
      <c r="AI90" s="11"/>
      <c r="AJ90" s="11"/>
      <c r="AK90" s="11"/>
      <c r="AL90" s="11"/>
      <c r="AM90" s="11"/>
      <c r="AN90" s="11"/>
      <c r="AO90" s="11"/>
      <c r="AP90" s="11"/>
      <c r="AQ90" s="11"/>
      <c r="AR90" s="11"/>
      <c r="AS90" s="225"/>
    </row>
    <row r="91" spans="1:45" s="221" customFormat="1" ht="20" customHeight="1">
      <c r="A91" s="215"/>
      <c r="B91" s="367"/>
      <c r="C91" s="223"/>
      <c r="D91" s="374"/>
      <c r="E91" s="358"/>
      <c r="F91" s="353"/>
      <c r="G91" s="354"/>
      <c r="H91" s="322"/>
      <c r="I91" s="322"/>
      <c r="J91" s="337" t="s">
        <v>397</v>
      </c>
      <c r="K91" s="336"/>
      <c r="L91" s="337"/>
      <c r="M91" s="338"/>
      <c r="N91" s="327"/>
      <c r="O91" s="328"/>
      <c r="P91" s="328"/>
      <c r="Q91" s="327"/>
      <c r="R91" s="328"/>
      <c r="S91" s="328"/>
      <c r="T91" s="339"/>
      <c r="U91" s="340"/>
      <c r="V91" s="340"/>
      <c r="W91" s="341"/>
      <c r="X91" s="342"/>
      <c r="Y91" s="320"/>
      <c r="Z91" s="328"/>
      <c r="AA91" s="328"/>
      <c r="AB91" s="11"/>
      <c r="AC91" s="217"/>
      <c r="AD91" s="218"/>
      <c r="AE91" s="219"/>
      <c r="AF91" s="11"/>
      <c r="AG91" s="11"/>
      <c r="AH91" s="11"/>
      <c r="AI91" s="11"/>
      <c r="AJ91" s="11"/>
      <c r="AK91" s="11"/>
      <c r="AL91" s="11"/>
      <c r="AM91" s="11"/>
      <c r="AN91" s="11"/>
      <c r="AO91" s="11"/>
      <c r="AP91" s="11"/>
      <c r="AQ91" s="11"/>
      <c r="AR91" s="11"/>
      <c r="AS91" s="225"/>
    </row>
    <row r="92" spans="1:45" s="221" customFormat="1" ht="20" customHeight="1">
      <c r="A92" s="215"/>
      <c r="B92" s="367"/>
      <c r="C92" s="223"/>
      <c r="D92" s="374"/>
      <c r="E92" s="358"/>
      <c r="F92" s="353"/>
      <c r="G92" s="354"/>
      <c r="H92" s="322"/>
      <c r="I92" s="322"/>
      <c r="J92" s="337" t="s">
        <v>399</v>
      </c>
      <c r="K92" s="336"/>
      <c r="L92" s="337"/>
      <c r="M92" s="338"/>
      <c r="N92" s="327"/>
      <c r="O92" s="328"/>
      <c r="P92" s="328"/>
      <c r="Q92" s="327"/>
      <c r="R92" s="328"/>
      <c r="S92" s="328"/>
      <c r="T92" s="339"/>
      <c r="U92" s="340"/>
      <c r="V92" s="340"/>
      <c r="W92" s="341"/>
      <c r="X92" s="342"/>
      <c r="Y92" s="320"/>
      <c r="Z92" s="328"/>
      <c r="AA92" s="328"/>
      <c r="AB92" s="11"/>
      <c r="AC92" s="217"/>
      <c r="AD92" s="218"/>
      <c r="AE92" s="219"/>
      <c r="AF92" s="11"/>
      <c r="AG92" s="11"/>
      <c r="AH92" s="11"/>
      <c r="AI92" s="11"/>
      <c r="AJ92" s="11"/>
      <c r="AK92" s="11"/>
      <c r="AL92" s="11"/>
      <c r="AM92" s="11"/>
      <c r="AN92" s="11"/>
      <c r="AO92" s="11"/>
      <c r="AP92" s="11"/>
      <c r="AQ92" s="11"/>
      <c r="AR92" s="11"/>
      <c r="AS92" s="225"/>
    </row>
    <row r="93" spans="1:45" s="221" customFormat="1" ht="20" customHeight="1">
      <c r="A93" s="215"/>
      <c r="B93" s="368"/>
      <c r="C93" s="223"/>
      <c r="D93" s="374"/>
      <c r="E93" s="358"/>
      <c r="F93" s="353"/>
      <c r="G93" s="354"/>
      <c r="H93" s="322"/>
      <c r="I93" s="322"/>
      <c r="J93" s="337" t="s">
        <v>398</v>
      </c>
      <c r="K93" s="336"/>
      <c r="L93" s="337"/>
      <c r="M93" s="338"/>
      <c r="N93" s="327"/>
      <c r="O93" s="328"/>
      <c r="P93" s="328"/>
      <c r="Q93" s="327"/>
      <c r="R93" s="328"/>
      <c r="S93" s="328"/>
      <c r="T93" s="339"/>
      <c r="U93" s="340"/>
      <c r="V93" s="340"/>
      <c r="W93" s="341"/>
      <c r="X93" s="342"/>
      <c r="Y93" s="320"/>
      <c r="Z93" s="328"/>
      <c r="AA93" s="328"/>
      <c r="AB93" s="11"/>
      <c r="AC93" s="217"/>
      <c r="AD93" s="218"/>
      <c r="AE93" s="219"/>
      <c r="AF93" s="11"/>
      <c r="AG93" s="11"/>
      <c r="AH93" s="11"/>
      <c r="AI93" s="11"/>
      <c r="AJ93" s="11"/>
      <c r="AK93" s="11"/>
      <c r="AL93" s="11"/>
      <c r="AM93" s="11"/>
      <c r="AN93" s="11"/>
      <c r="AO93" s="11"/>
      <c r="AP93" s="11"/>
      <c r="AQ93" s="11"/>
      <c r="AR93" s="11"/>
      <c r="AS93" s="225"/>
    </row>
    <row r="94" spans="1:45" s="221" customFormat="1" ht="20" customHeight="1">
      <c r="A94" s="215"/>
      <c r="B94" s="366" t="str">
        <f>IF(D94="","",ヘッダ!$C$5)</f>
        <v>Social Login</v>
      </c>
      <c r="C94" s="223"/>
      <c r="D94" s="374" t="s">
        <v>365</v>
      </c>
      <c r="E94" s="358"/>
      <c r="F94" s="353"/>
      <c r="G94" s="354"/>
      <c r="H94" s="322"/>
      <c r="I94" s="322" t="s">
        <v>402</v>
      </c>
      <c r="J94" s="337" t="s">
        <v>393</v>
      </c>
      <c r="K94" s="336"/>
      <c r="L94" s="337"/>
      <c r="M94" s="338"/>
      <c r="N94" s="327"/>
      <c r="O94" s="328"/>
      <c r="P94" s="328"/>
      <c r="Q94" s="327"/>
      <c r="R94" s="328"/>
      <c r="S94" s="328"/>
      <c r="T94" s="339"/>
      <c r="U94" s="340"/>
      <c r="V94" s="340"/>
      <c r="W94" s="341"/>
      <c r="X94" s="342"/>
      <c r="Y94" s="320"/>
      <c r="Z94" s="328"/>
      <c r="AA94" s="328"/>
      <c r="AB94" s="11"/>
      <c r="AC94" s="217"/>
      <c r="AD94" s="218"/>
      <c r="AE94" s="219"/>
      <c r="AF94" s="11"/>
      <c r="AG94" s="11"/>
      <c r="AH94" s="11"/>
      <c r="AI94" s="11"/>
      <c r="AJ94" s="11"/>
      <c r="AK94" s="11"/>
      <c r="AL94" s="11"/>
      <c r="AM94" s="11"/>
      <c r="AN94" s="11"/>
      <c r="AO94" s="11"/>
      <c r="AP94" s="11"/>
      <c r="AQ94" s="11"/>
      <c r="AR94" s="11"/>
      <c r="AS94" s="225"/>
    </row>
    <row r="95" spans="1:45" s="221" customFormat="1" ht="20" customHeight="1">
      <c r="A95" s="215"/>
      <c r="B95" s="367"/>
      <c r="C95" s="223"/>
      <c r="D95" s="374"/>
      <c r="E95" s="358"/>
      <c r="F95" s="353"/>
      <c r="G95" s="354"/>
      <c r="H95" s="322"/>
      <c r="I95" s="322"/>
      <c r="J95" s="337" t="s">
        <v>394</v>
      </c>
      <c r="K95" s="336"/>
      <c r="L95" s="337"/>
      <c r="M95" s="338"/>
      <c r="N95" s="327"/>
      <c r="O95" s="328"/>
      <c r="P95" s="328"/>
      <c r="Q95" s="327"/>
      <c r="R95" s="328"/>
      <c r="S95" s="328"/>
      <c r="T95" s="339"/>
      <c r="U95" s="340"/>
      <c r="V95" s="340"/>
      <c r="W95" s="341"/>
      <c r="X95" s="342"/>
      <c r="Y95" s="320"/>
      <c r="Z95" s="328"/>
      <c r="AA95" s="328"/>
      <c r="AB95" s="11"/>
      <c r="AC95" s="217"/>
      <c r="AD95" s="218"/>
      <c r="AE95" s="219"/>
      <c r="AF95" s="11"/>
      <c r="AG95" s="11"/>
      <c r="AH95" s="11"/>
      <c r="AI95" s="11"/>
      <c r="AJ95" s="11"/>
      <c r="AK95" s="11"/>
      <c r="AL95" s="11"/>
      <c r="AM95" s="11"/>
      <c r="AN95" s="11"/>
      <c r="AO95" s="11"/>
      <c r="AP95" s="11"/>
      <c r="AQ95" s="11"/>
      <c r="AR95" s="11"/>
      <c r="AS95" s="225"/>
    </row>
    <row r="96" spans="1:45" s="221" customFormat="1" ht="20" customHeight="1">
      <c r="A96" s="215"/>
      <c r="B96" s="367"/>
      <c r="C96" s="223"/>
      <c r="D96" s="374"/>
      <c r="E96" s="358"/>
      <c r="F96" s="353"/>
      <c r="G96" s="354"/>
      <c r="H96" s="322"/>
      <c r="I96" s="322"/>
      <c r="J96" s="337" t="s">
        <v>395</v>
      </c>
      <c r="K96" s="336"/>
      <c r="L96" s="337"/>
      <c r="M96" s="338"/>
      <c r="N96" s="327"/>
      <c r="O96" s="328"/>
      <c r="P96" s="328"/>
      <c r="Q96" s="327"/>
      <c r="R96" s="328"/>
      <c r="S96" s="328"/>
      <c r="T96" s="339"/>
      <c r="U96" s="340"/>
      <c r="V96" s="340"/>
      <c r="W96" s="341"/>
      <c r="X96" s="342"/>
      <c r="Y96" s="320"/>
      <c r="Z96" s="328"/>
      <c r="AA96" s="328"/>
      <c r="AB96" s="11"/>
      <c r="AC96" s="217"/>
      <c r="AD96" s="218"/>
      <c r="AE96" s="219"/>
      <c r="AF96" s="11"/>
      <c r="AG96" s="11"/>
      <c r="AH96" s="11"/>
      <c r="AI96" s="11"/>
      <c r="AJ96" s="11"/>
      <c r="AK96" s="11"/>
      <c r="AL96" s="11"/>
      <c r="AM96" s="11"/>
      <c r="AN96" s="11"/>
      <c r="AO96" s="11"/>
      <c r="AP96" s="11"/>
      <c r="AQ96" s="11"/>
      <c r="AR96" s="11"/>
      <c r="AS96" s="225"/>
    </row>
    <row r="97" spans="1:45" s="221" customFormat="1" ht="20" customHeight="1">
      <c r="A97" s="215"/>
      <c r="B97" s="367"/>
      <c r="C97" s="223"/>
      <c r="D97" s="374"/>
      <c r="E97" s="358"/>
      <c r="F97" s="353"/>
      <c r="G97" s="354"/>
      <c r="H97" s="322"/>
      <c r="I97" s="322"/>
      <c r="J97" s="337" t="s">
        <v>396</v>
      </c>
      <c r="K97" s="336"/>
      <c r="L97" s="337"/>
      <c r="M97" s="338"/>
      <c r="N97" s="327"/>
      <c r="O97" s="328"/>
      <c r="P97" s="328"/>
      <c r="Q97" s="327"/>
      <c r="R97" s="328"/>
      <c r="S97" s="328"/>
      <c r="T97" s="339"/>
      <c r="U97" s="340"/>
      <c r="V97" s="340"/>
      <c r="W97" s="341"/>
      <c r="X97" s="342"/>
      <c r="Y97" s="320"/>
      <c r="Z97" s="328"/>
      <c r="AA97" s="328"/>
      <c r="AB97" s="11"/>
      <c r="AC97" s="217"/>
      <c r="AD97" s="218"/>
      <c r="AE97" s="219"/>
      <c r="AF97" s="11"/>
      <c r="AG97" s="11"/>
      <c r="AH97" s="11"/>
      <c r="AI97" s="11"/>
      <c r="AJ97" s="11"/>
      <c r="AK97" s="11"/>
      <c r="AL97" s="11"/>
      <c r="AM97" s="11"/>
      <c r="AN97" s="11"/>
      <c r="AO97" s="11"/>
      <c r="AP97" s="11"/>
      <c r="AQ97" s="11"/>
      <c r="AR97" s="11"/>
      <c r="AS97" s="225"/>
    </row>
    <row r="98" spans="1:45" s="221" customFormat="1" ht="20" customHeight="1">
      <c r="A98" s="215"/>
      <c r="B98" s="367"/>
      <c r="C98" s="223"/>
      <c r="D98" s="374"/>
      <c r="E98" s="358"/>
      <c r="F98" s="353"/>
      <c r="G98" s="354"/>
      <c r="H98" s="322"/>
      <c r="I98" s="322"/>
      <c r="J98" s="337" t="s">
        <v>397</v>
      </c>
      <c r="K98" s="336"/>
      <c r="L98" s="337"/>
      <c r="M98" s="338"/>
      <c r="N98" s="327"/>
      <c r="O98" s="328"/>
      <c r="P98" s="328"/>
      <c r="Q98" s="327"/>
      <c r="R98" s="328"/>
      <c r="S98" s="328"/>
      <c r="T98" s="339"/>
      <c r="U98" s="340"/>
      <c r="V98" s="340"/>
      <c r="W98" s="341"/>
      <c r="X98" s="342"/>
      <c r="Y98" s="320"/>
      <c r="Z98" s="328"/>
      <c r="AA98" s="328"/>
      <c r="AB98" s="11"/>
      <c r="AC98" s="217"/>
      <c r="AD98" s="218"/>
      <c r="AE98" s="219"/>
      <c r="AF98" s="11"/>
      <c r="AG98" s="11"/>
      <c r="AH98" s="11"/>
      <c r="AI98" s="11"/>
      <c r="AJ98" s="11"/>
      <c r="AK98" s="11"/>
      <c r="AL98" s="11"/>
      <c r="AM98" s="11"/>
      <c r="AN98" s="11"/>
      <c r="AO98" s="11"/>
      <c r="AP98" s="11"/>
      <c r="AQ98" s="11"/>
      <c r="AR98" s="11"/>
      <c r="AS98" s="225" t="str">
        <f>ヘッダ!$G$5</f>
        <v>02_単体テスト</v>
      </c>
    </row>
    <row r="99" spans="1:45" s="221" customFormat="1" ht="20" customHeight="1">
      <c r="A99" s="215"/>
      <c r="B99" s="367"/>
      <c r="C99" s="223"/>
      <c r="D99" s="374"/>
      <c r="E99" s="358"/>
      <c r="F99" s="353"/>
      <c r="G99" s="354"/>
      <c r="H99" s="322"/>
      <c r="I99" s="322"/>
      <c r="J99" s="337" t="s">
        <v>399</v>
      </c>
      <c r="K99" s="336"/>
      <c r="L99" s="337"/>
      <c r="M99" s="338"/>
      <c r="N99" s="327"/>
      <c r="O99" s="328"/>
      <c r="P99" s="328"/>
      <c r="Q99" s="327"/>
      <c r="R99" s="328"/>
      <c r="S99" s="328"/>
      <c r="T99" s="339"/>
      <c r="U99" s="340"/>
      <c r="V99" s="340"/>
      <c r="W99" s="341"/>
      <c r="X99" s="342"/>
      <c r="Y99" s="320"/>
      <c r="Z99" s="328"/>
      <c r="AA99" s="328"/>
      <c r="AB99" s="11"/>
      <c r="AC99" s="217"/>
      <c r="AD99" s="218"/>
      <c r="AE99" s="219"/>
      <c r="AF99" s="11"/>
      <c r="AG99" s="11"/>
      <c r="AH99" s="11"/>
      <c r="AI99" s="11"/>
      <c r="AJ99" s="11"/>
      <c r="AK99" s="11"/>
      <c r="AL99" s="11"/>
      <c r="AM99" s="11"/>
      <c r="AN99" s="11"/>
      <c r="AO99" s="11"/>
      <c r="AP99" s="11"/>
      <c r="AQ99" s="11"/>
      <c r="AR99" s="11"/>
      <c r="AS99" s="225"/>
    </row>
    <row r="100" spans="1:45" s="221" customFormat="1" ht="20" customHeight="1">
      <c r="A100" s="215"/>
      <c r="B100" s="368"/>
      <c r="C100" s="223"/>
      <c r="D100" s="374"/>
      <c r="E100" s="358"/>
      <c r="F100" s="353"/>
      <c r="G100" s="354"/>
      <c r="H100" s="322"/>
      <c r="I100" s="322"/>
      <c r="J100" s="337" t="s">
        <v>398</v>
      </c>
      <c r="K100" s="336"/>
      <c r="L100" s="337"/>
      <c r="M100" s="338"/>
      <c r="N100" s="327"/>
      <c r="O100" s="328"/>
      <c r="P100" s="328"/>
      <c r="Q100" s="327"/>
      <c r="R100" s="328"/>
      <c r="S100" s="328"/>
      <c r="T100" s="339"/>
      <c r="U100" s="340"/>
      <c r="V100" s="340"/>
      <c r="W100" s="341"/>
      <c r="X100" s="342"/>
      <c r="Y100" s="320"/>
      <c r="Z100" s="328"/>
      <c r="AA100" s="328"/>
      <c r="AB100" s="11"/>
      <c r="AC100" s="217"/>
      <c r="AD100" s="218"/>
      <c r="AE100" s="219"/>
      <c r="AF100" s="11"/>
      <c r="AG100" s="11"/>
      <c r="AH100" s="11"/>
      <c r="AI100" s="11"/>
      <c r="AJ100" s="11"/>
      <c r="AK100" s="11"/>
      <c r="AL100" s="11"/>
      <c r="AM100" s="11"/>
      <c r="AN100" s="11"/>
      <c r="AO100" s="11"/>
      <c r="AP100" s="11"/>
      <c r="AQ100" s="11"/>
      <c r="AR100" s="11"/>
      <c r="AS100" s="225" t="str">
        <f>ヘッダ!$G$5</f>
        <v>02_単体テスト</v>
      </c>
    </row>
    <row r="101" spans="1:45" s="221" customFormat="1" ht="20" customHeight="1">
      <c r="A101" s="215"/>
      <c r="B101" s="366" t="str">
        <f>IF(D101="","",ヘッダ!$C$5)</f>
        <v>Social Login</v>
      </c>
      <c r="C101" s="223"/>
      <c r="D101" s="374" t="s">
        <v>366</v>
      </c>
      <c r="E101" s="358"/>
      <c r="F101" s="353"/>
      <c r="G101" s="354"/>
      <c r="H101" s="323" t="s">
        <v>405</v>
      </c>
      <c r="I101" s="322" t="s">
        <v>404</v>
      </c>
      <c r="J101" s="321" t="s">
        <v>424</v>
      </c>
      <c r="K101" s="336"/>
      <c r="L101" s="337"/>
      <c r="M101" s="338"/>
      <c r="N101" s="327"/>
      <c r="O101" s="328"/>
      <c r="P101" s="328"/>
      <c r="Q101" s="327"/>
      <c r="R101" s="328"/>
      <c r="S101" s="328"/>
      <c r="T101" s="339"/>
      <c r="U101" s="340"/>
      <c r="V101" s="340"/>
      <c r="W101" s="341"/>
      <c r="X101" s="342"/>
      <c r="Y101" s="320"/>
      <c r="Z101" s="328"/>
      <c r="AA101" s="328"/>
      <c r="AB101" s="11"/>
      <c r="AC101" s="217"/>
      <c r="AD101" s="218"/>
      <c r="AE101" s="219"/>
      <c r="AF101" s="11"/>
      <c r="AG101" s="11"/>
      <c r="AH101" s="11"/>
      <c r="AI101" s="11"/>
      <c r="AJ101" s="11"/>
      <c r="AK101" s="11"/>
      <c r="AL101" s="11"/>
      <c r="AM101" s="11"/>
      <c r="AN101" s="11"/>
      <c r="AO101" s="11"/>
      <c r="AP101" s="11"/>
      <c r="AQ101" s="11"/>
      <c r="AR101" s="11"/>
      <c r="AS101" s="225" t="str">
        <f>ヘッダ!$G$5</f>
        <v>02_単体テスト</v>
      </c>
    </row>
    <row r="102" spans="1:45" s="221" customFormat="1" ht="20" customHeight="1">
      <c r="A102" s="215"/>
      <c r="B102" s="367"/>
      <c r="C102" s="223"/>
      <c r="D102" s="374"/>
      <c r="E102" s="358"/>
      <c r="F102" s="353"/>
      <c r="G102" s="354"/>
      <c r="H102" s="323"/>
      <c r="I102" s="322"/>
      <c r="J102" s="321" t="s">
        <v>425</v>
      </c>
      <c r="K102" s="336"/>
      <c r="L102" s="337"/>
      <c r="M102" s="338"/>
      <c r="N102" s="327"/>
      <c r="O102" s="328"/>
      <c r="P102" s="328"/>
      <c r="Q102" s="327"/>
      <c r="R102" s="328"/>
      <c r="S102" s="328"/>
      <c r="T102" s="339"/>
      <c r="U102" s="340"/>
      <c r="V102" s="340"/>
      <c r="W102" s="341"/>
      <c r="X102" s="342"/>
      <c r="Y102" s="320"/>
      <c r="Z102" s="328"/>
      <c r="AA102" s="328"/>
      <c r="AB102" s="11"/>
      <c r="AC102" s="217"/>
      <c r="AD102" s="218"/>
      <c r="AE102" s="219"/>
      <c r="AF102" s="11"/>
      <c r="AG102" s="11"/>
      <c r="AH102" s="11"/>
      <c r="AI102" s="11"/>
      <c r="AJ102" s="11"/>
      <c r="AK102" s="11"/>
      <c r="AL102" s="11"/>
      <c r="AM102" s="11"/>
      <c r="AN102" s="11"/>
      <c r="AO102" s="11"/>
      <c r="AP102" s="11"/>
      <c r="AQ102" s="11"/>
      <c r="AR102" s="11"/>
      <c r="AS102" s="225"/>
    </row>
    <row r="103" spans="1:45" s="221" customFormat="1" ht="20" customHeight="1">
      <c r="A103" s="215"/>
      <c r="B103" s="367"/>
      <c r="C103" s="223"/>
      <c r="D103" s="374"/>
      <c r="E103" s="358"/>
      <c r="F103" s="353"/>
      <c r="G103" s="354"/>
      <c r="H103" s="323"/>
      <c r="I103" s="322"/>
      <c r="J103" s="321" t="s">
        <v>426</v>
      </c>
      <c r="K103" s="336"/>
      <c r="L103" s="337"/>
      <c r="M103" s="338"/>
      <c r="N103" s="327"/>
      <c r="O103" s="328"/>
      <c r="P103" s="328"/>
      <c r="Q103" s="327"/>
      <c r="R103" s="328"/>
      <c r="S103" s="328"/>
      <c r="T103" s="339"/>
      <c r="U103" s="340"/>
      <c r="V103" s="340"/>
      <c r="W103" s="341"/>
      <c r="X103" s="342"/>
      <c r="Y103" s="320"/>
      <c r="Z103" s="328"/>
      <c r="AA103" s="328"/>
      <c r="AB103" s="11"/>
      <c r="AC103" s="217"/>
      <c r="AD103" s="218"/>
      <c r="AE103" s="219"/>
      <c r="AF103" s="11"/>
      <c r="AG103" s="11"/>
      <c r="AH103" s="11"/>
      <c r="AI103" s="11"/>
      <c r="AJ103" s="11"/>
      <c r="AK103" s="11"/>
      <c r="AL103" s="11"/>
      <c r="AM103" s="11"/>
      <c r="AN103" s="11"/>
      <c r="AO103" s="11"/>
      <c r="AP103" s="11"/>
      <c r="AQ103" s="11"/>
      <c r="AR103" s="11"/>
      <c r="AS103" s="225" t="str">
        <f>ヘッダ!$G$5</f>
        <v>02_単体テスト</v>
      </c>
    </row>
    <row r="104" spans="1:45" s="221" customFormat="1" ht="20" customHeight="1">
      <c r="A104" s="215"/>
      <c r="B104" s="367"/>
      <c r="C104" s="223"/>
      <c r="D104" s="374"/>
      <c r="E104" s="358"/>
      <c r="F104" s="353"/>
      <c r="G104" s="354"/>
      <c r="H104" s="323"/>
      <c r="I104" s="322"/>
      <c r="J104" s="321" t="s">
        <v>427</v>
      </c>
      <c r="K104" s="336"/>
      <c r="L104" s="337"/>
      <c r="M104" s="338"/>
      <c r="N104" s="327"/>
      <c r="O104" s="328"/>
      <c r="P104" s="328"/>
      <c r="Q104" s="327"/>
      <c r="R104" s="328"/>
      <c r="S104" s="328"/>
      <c r="T104" s="339"/>
      <c r="U104" s="340"/>
      <c r="V104" s="340"/>
      <c r="W104" s="341"/>
      <c r="X104" s="342"/>
      <c r="Y104" s="320"/>
      <c r="Z104" s="328"/>
      <c r="AA104" s="328"/>
      <c r="AB104" s="11"/>
      <c r="AC104" s="217"/>
      <c r="AD104" s="218"/>
      <c r="AE104" s="219"/>
      <c r="AF104" s="11"/>
      <c r="AG104" s="11"/>
      <c r="AH104" s="11"/>
      <c r="AI104" s="11"/>
      <c r="AJ104" s="11"/>
      <c r="AK104" s="11"/>
      <c r="AL104" s="11"/>
      <c r="AM104" s="11"/>
      <c r="AN104" s="11"/>
      <c r="AO104" s="11"/>
      <c r="AP104" s="11"/>
      <c r="AQ104" s="11"/>
      <c r="AR104" s="11"/>
      <c r="AS104" s="225" t="str">
        <f>ヘッダ!$G$5</f>
        <v>02_単体テスト</v>
      </c>
    </row>
    <row r="105" spans="1:45" s="221" customFormat="1" ht="20" customHeight="1">
      <c r="A105" s="215"/>
      <c r="B105" s="367"/>
      <c r="C105" s="223"/>
      <c r="D105" s="374"/>
      <c r="E105" s="358"/>
      <c r="F105" s="353"/>
      <c r="G105" s="354"/>
      <c r="H105" s="323"/>
      <c r="I105" s="322"/>
      <c r="J105" s="321"/>
      <c r="K105" s="336"/>
      <c r="L105" s="337"/>
      <c r="M105" s="338"/>
      <c r="N105" s="327"/>
      <c r="O105" s="328"/>
      <c r="P105" s="328"/>
      <c r="Q105" s="327"/>
      <c r="R105" s="328"/>
      <c r="S105" s="328"/>
      <c r="T105" s="339"/>
      <c r="U105" s="340"/>
      <c r="V105" s="340"/>
      <c r="W105" s="341"/>
      <c r="X105" s="342"/>
      <c r="Y105" s="320"/>
      <c r="Z105" s="328"/>
      <c r="AA105" s="328"/>
      <c r="AB105" s="11"/>
      <c r="AC105" s="217"/>
      <c r="AD105" s="218"/>
      <c r="AE105" s="219"/>
      <c r="AF105" s="11"/>
      <c r="AG105" s="11"/>
      <c r="AH105" s="11"/>
      <c r="AI105" s="11"/>
      <c r="AJ105" s="11"/>
      <c r="AK105" s="11"/>
      <c r="AL105" s="11"/>
      <c r="AM105" s="11"/>
      <c r="AN105" s="11"/>
      <c r="AO105" s="11"/>
      <c r="AP105" s="11"/>
      <c r="AQ105" s="11"/>
      <c r="AR105" s="11"/>
      <c r="AS105" s="225"/>
    </row>
    <row r="106" spans="1:45" s="221" customFormat="1" ht="20" customHeight="1">
      <c r="A106" s="215"/>
      <c r="B106" s="367"/>
      <c r="C106" s="223"/>
      <c r="D106" s="374"/>
      <c r="E106" s="358"/>
      <c r="F106" s="353"/>
      <c r="G106" s="354"/>
      <c r="H106" s="323"/>
      <c r="I106" s="322"/>
      <c r="J106" s="321"/>
      <c r="K106" s="336"/>
      <c r="L106" s="337"/>
      <c r="M106" s="338"/>
      <c r="N106" s="327"/>
      <c r="O106" s="328"/>
      <c r="P106" s="328"/>
      <c r="Q106" s="327"/>
      <c r="R106" s="328"/>
      <c r="S106" s="328"/>
      <c r="T106" s="339"/>
      <c r="U106" s="340"/>
      <c r="V106" s="340"/>
      <c r="W106" s="341"/>
      <c r="X106" s="342"/>
      <c r="Y106" s="320"/>
      <c r="Z106" s="328"/>
      <c r="AA106" s="328"/>
      <c r="AB106" s="11"/>
      <c r="AC106" s="217"/>
      <c r="AD106" s="218"/>
      <c r="AE106" s="219"/>
      <c r="AF106" s="11"/>
      <c r="AG106" s="11"/>
      <c r="AH106" s="11"/>
      <c r="AI106" s="11"/>
      <c r="AJ106" s="11"/>
      <c r="AK106" s="11"/>
      <c r="AL106" s="11"/>
      <c r="AM106" s="11"/>
      <c r="AN106" s="11"/>
      <c r="AO106" s="11"/>
      <c r="AP106" s="11"/>
      <c r="AQ106" s="11"/>
      <c r="AR106" s="11"/>
      <c r="AS106" s="225" t="str">
        <f>ヘッダ!$G$5</f>
        <v>02_単体テスト</v>
      </c>
    </row>
    <row r="107" spans="1:45" s="221" customFormat="1" ht="20" customHeight="1">
      <c r="A107" s="215"/>
      <c r="B107" s="368"/>
      <c r="C107" s="223"/>
      <c r="D107" s="374"/>
      <c r="E107" s="358"/>
      <c r="F107" s="353"/>
      <c r="G107" s="354"/>
      <c r="H107" s="323"/>
      <c r="I107" s="322"/>
      <c r="J107" s="321"/>
      <c r="K107" s="336"/>
      <c r="L107" s="337"/>
      <c r="M107" s="338"/>
      <c r="N107" s="327"/>
      <c r="O107" s="328"/>
      <c r="P107" s="328"/>
      <c r="Q107" s="327"/>
      <c r="R107" s="328"/>
      <c r="S107" s="328"/>
      <c r="T107" s="339"/>
      <c r="U107" s="340"/>
      <c r="V107" s="340"/>
      <c r="W107" s="341"/>
      <c r="X107" s="342"/>
      <c r="Y107" s="320"/>
      <c r="Z107" s="328"/>
      <c r="AA107" s="328"/>
      <c r="AB107" s="11"/>
      <c r="AC107" s="217"/>
      <c r="AD107" s="218"/>
      <c r="AE107" s="219"/>
      <c r="AF107" s="11"/>
      <c r="AG107" s="11"/>
      <c r="AH107" s="11"/>
      <c r="AI107" s="11"/>
      <c r="AJ107" s="11"/>
      <c r="AK107" s="11"/>
      <c r="AL107" s="11"/>
      <c r="AM107" s="11"/>
      <c r="AN107" s="11"/>
      <c r="AO107" s="11"/>
      <c r="AP107" s="11"/>
      <c r="AQ107" s="11"/>
      <c r="AR107" s="11"/>
      <c r="AS107" s="225" t="str">
        <f>ヘッダ!$G$5</f>
        <v>02_単体テスト</v>
      </c>
    </row>
    <row r="108" spans="1:45" s="221" customFormat="1" ht="20" customHeight="1">
      <c r="A108" s="215"/>
      <c r="B108" s="366" t="str">
        <f>IF(D108="","",ヘッダ!$C$5)</f>
        <v>Social Login</v>
      </c>
      <c r="C108" s="223"/>
      <c r="D108" s="374" t="s">
        <v>367</v>
      </c>
      <c r="E108" s="358"/>
      <c r="F108" s="353"/>
      <c r="G108" s="354"/>
      <c r="H108" s="323"/>
      <c r="I108" s="322" t="s">
        <v>400</v>
      </c>
      <c r="J108" s="337" t="s">
        <v>393</v>
      </c>
      <c r="K108" s="336"/>
      <c r="L108" s="337"/>
      <c r="M108" s="338"/>
      <c r="N108" s="327"/>
      <c r="O108" s="328"/>
      <c r="P108" s="328"/>
      <c r="Q108" s="327"/>
      <c r="R108" s="328"/>
      <c r="S108" s="328"/>
      <c r="T108" s="339"/>
      <c r="U108" s="340"/>
      <c r="V108" s="340"/>
      <c r="W108" s="341"/>
      <c r="X108" s="342"/>
      <c r="Y108" s="320"/>
      <c r="Z108" s="328"/>
      <c r="AA108" s="328"/>
      <c r="AB108" s="11"/>
      <c r="AC108" s="217"/>
      <c r="AD108" s="218"/>
      <c r="AE108" s="219"/>
      <c r="AF108" s="11"/>
      <c r="AG108" s="11"/>
      <c r="AH108" s="11"/>
      <c r="AI108" s="11"/>
      <c r="AJ108" s="11"/>
      <c r="AK108" s="11"/>
      <c r="AL108" s="11"/>
      <c r="AM108" s="11"/>
      <c r="AN108" s="11"/>
      <c r="AO108" s="11"/>
      <c r="AP108" s="11"/>
      <c r="AQ108" s="11"/>
      <c r="AR108" s="11"/>
      <c r="AS108" s="225"/>
    </row>
    <row r="109" spans="1:45" s="221" customFormat="1" ht="20" customHeight="1">
      <c r="A109" s="215"/>
      <c r="B109" s="367"/>
      <c r="C109" s="223"/>
      <c r="D109" s="374"/>
      <c r="E109" s="358"/>
      <c r="F109" s="353"/>
      <c r="G109" s="354"/>
      <c r="H109" s="323"/>
      <c r="I109" s="322"/>
      <c r="J109" s="337" t="s">
        <v>394</v>
      </c>
      <c r="K109" s="336"/>
      <c r="L109" s="337"/>
      <c r="M109" s="338"/>
      <c r="N109" s="327"/>
      <c r="O109" s="328"/>
      <c r="P109" s="328"/>
      <c r="Q109" s="327"/>
      <c r="R109" s="328"/>
      <c r="S109" s="328"/>
      <c r="T109" s="339"/>
      <c r="U109" s="340"/>
      <c r="V109" s="340"/>
      <c r="W109" s="341"/>
      <c r="X109" s="342"/>
      <c r="Y109" s="320"/>
      <c r="Z109" s="328"/>
      <c r="AA109" s="328"/>
      <c r="AB109" s="11"/>
      <c r="AC109" s="217"/>
      <c r="AD109" s="218"/>
      <c r="AE109" s="219"/>
      <c r="AF109" s="11"/>
      <c r="AG109" s="11"/>
      <c r="AH109" s="11"/>
      <c r="AI109" s="11"/>
      <c r="AJ109" s="11"/>
      <c r="AK109" s="11"/>
      <c r="AL109" s="11"/>
      <c r="AM109" s="11"/>
      <c r="AN109" s="11"/>
      <c r="AO109" s="11"/>
      <c r="AP109" s="11"/>
      <c r="AQ109" s="11"/>
      <c r="AR109" s="11"/>
      <c r="AS109" s="225"/>
    </row>
    <row r="110" spans="1:45" s="221" customFormat="1" ht="20" customHeight="1">
      <c r="A110" s="215"/>
      <c r="B110" s="367"/>
      <c r="C110" s="223"/>
      <c r="D110" s="374"/>
      <c r="E110" s="358"/>
      <c r="F110" s="353"/>
      <c r="G110" s="354"/>
      <c r="H110" s="323"/>
      <c r="I110" s="322"/>
      <c r="J110" s="337" t="s">
        <v>395</v>
      </c>
      <c r="K110" s="336"/>
      <c r="L110" s="337"/>
      <c r="M110" s="338"/>
      <c r="N110" s="327"/>
      <c r="O110" s="328"/>
      <c r="P110" s="328"/>
      <c r="Q110" s="327"/>
      <c r="R110" s="328"/>
      <c r="S110" s="328"/>
      <c r="T110" s="339"/>
      <c r="U110" s="340"/>
      <c r="V110" s="340"/>
      <c r="W110" s="341"/>
      <c r="X110" s="342"/>
      <c r="Y110" s="320"/>
      <c r="Z110" s="328"/>
      <c r="AA110" s="328"/>
      <c r="AB110" s="11"/>
      <c r="AC110" s="217"/>
      <c r="AD110" s="218"/>
      <c r="AE110" s="219"/>
      <c r="AF110" s="11"/>
      <c r="AG110" s="11"/>
      <c r="AH110" s="11"/>
      <c r="AI110" s="11"/>
      <c r="AJ110" s="11"/>
      <c r="AK110" s="11"/>
      <c r="AL110" s="11"/>
      <c r="AM110" s="11"/>
      <c r="AN110" s="11"/>
      <c r="AO110" s="11"/>
      <c r="AP110" s="11"/>
      <c r="AQ110" s="11"/>
      <c r="AR110" s="11"/>
      <c r="AS110" s="225"/>
    </row>
    <row r="111" spans="1:45" s="221" customFormat="1" ht="20" customHeight="1">
      <c r="A111" s="215"/>
      <c r="B111" s="367"/>
      <c r="C111" s="223"/>
      <c r="D111" s="374"/>
      <c r="E111" s="358"/>
      <c r="F111" s="353"/>
      <c r="G111" s="354"/>
      <c r="H111" s="323"/>
      <c r="I111" s="322"/>
      <c r="J111" s="337" t="s">
        <v>396</v>
      </c>
      <c r="K111" s="336"/>
      <c r="L111" s="337"/>
      <c r="M111" s="338"/>
      <c r="N111" s="327"/>
      <c r="O111" s="328"/>
      <c r="P111" s="328"/>
      <c r="Q111" s="327"/>
      <c r="R111" s="328"/>
      <c r="S111" s="328"/>
      <c r="T111" s="339"/>
      <c r="U111" s="340"/>
      <c r="V111" s="340"/>
      <c r="W111" s="341"/>
      <c r="X111" s="342"/>
      <c r="Y111" s="320"/>
      <c r="Z111" s="328"/>
      <c r="AA111" s="328"/>
      <c r="AB111" s="11"/>
      <c r="AC111" s="217"/>
      <c r="AD111" s="218"/>
      <c r="AE111" s="219"/>
      <c r="AF111" s="11"/>
      <c r="AG111" s="11"/>
      <c r="AH111" s="11"/>
      <c r="AI111" s="11"/>
      <c r="AJ111" s="11"/>
      <c r="AK111" s="11"/>
      <c r="AL111" s="11"/>
      <c r="AM111" s="11"/>
      <c r="AN111" s="11"/>
      <c r="AO111" s="11"/>
      <c r="AP111" s="11"/>
      <c r="AQ111" s="11"/>
      <c r="AR111" s="11"/>
      <c r="AS111" s="225"/>
    </row>
    <row r="112" spans="1:45" s="221" customFormat="1" ht="20" customHeight="1">
      <c r="A112" s="215"/>
      <c r="B112" s="367"/>
      <c r="C112" s="223"/>
      <c r="D112" s="374"/>
      <c r="E112" s="358"/>
      <c r="F112" s="353"/>
      <c r="G112" s="354"/>
      <c r="H112" s="323"/>
      <c r="I112" s="322"/>
      <c r="J112" s="337" t="s">
        <v>397</v>
      </c>
      <c r="K112" s="336"/>
      <c r="L112" s="337"/>
      <c r="M112" s="338"/>
      <c r="N112" s="327"/>
      <c r="O112" s="328"/>
      <c r="P112" s="328"/>
      <c r="Q112" s="327"/>
      <c r="R112" s="328"/>
      <c r="S112" s="328"/>
      <c r="T112" s="339"/>
      <c r="U112" s="340"/>
      <c r="V112" s="340"/>
      <c r="W112" s="341"/>
      <c r="X112" s="342"/>
      <c r="Y112" s="320"/>
      <c r="Z112" s="328"/>
      <c r="AA112" s="328"/>
      <c r="AB112" s="11"/>
      <c r="AC112" s="217"/>
      <c r="AD112" s="218"/>
      <c r="AE112" s="219"/>
      <c r="AF112" s="11"/>
      <c r="AG112" s="11"/>
      <c r="AH112" s="11"/>
      <c r="AI112" s="11"/>
      <c r="AJ112" s="11"/>
      <c r="AK112" s="11"/>
      <c r="AL112" s="11"/>
      <c r="AM112" s="11"/>
      <c r="AN112" s="11"/>
      <c r="AO112" s="11"/>
      <c r="AP112" s="11"/>
      <c r="AQ112" s="11"/>
      <c r="AR112" s="11"/>
      <c r="AS112" s="225"/>
    </row>
    <row r="113" spans="1:45" s="221" customFormat="1" ht="20" customHeight="1">
      <c r="A113" s="215"/>
      <c r="B113" s="367"/>
      <c r="C113" s="223"/>
      <c r="D113" s="374"/>
      <c r="E113" s="358"/>
      <c r="F113" s="353"/>
      <c r="G113" s="354"/>
      <c r="H113" s="323"/>
      <c r="I113" s="322"/>
      <c r="J113" s="337" t="s">
        <v>399</v>
      </c>
      <c r="K113" s="336"/>
      <c r="L113" s="337"/>
      <c r="M113" s="338"/>
      <c r="N113" s="327"/>
      <c r="O113" s="328"/>
      <c r="P113" s="328"/>
      <c r="Q113" s="327"/>
      <c r="R113" s="328"/>
      <c r="S113" s="328"/>
      <c r="T113" s="339"/>
      <c r="U113" s="340"/>
      <c r="V113" s="340"/>
      <c r="W113" s="341"/>
      <c r="X113" s="342"/>
      <c r="Y113" s="320"/>
      <c r="Z113" s="328"/>
      <c r="AA113" s="328"/>
      <c r="AB113" s="11"/>
      <c r="AC113" s="217"/>
      <c r="AD113" s="218"/>
      <c r="AE113" s="219"/>
      <c r="AF113" s="11"/>
      <c r="AG113" s="11"/>
      <c r="AH113" s="11"/>
      <c r="AI113" s="11"/>
      <c r="AJ113" s="11"/>
      <c r="AK113" s="11"/>
      <c r="AL113" s="11"/>
      <c r="AM113" s="11"/>
      <c r="AN113" s="11"/>
      <c r="AO113" s="11"/>
      <c r="AP113" s="11"/>
      <c r="AQ113" s="11"/>
      <c r="AR113" s="11"/>
      <c r="AS113" s="225"/>
    </row>
    <row r="114" spans="1:45" s="221" customFormat="1" ht="20" customHeight="1">
      <c r="A114" s="215"/>
      <c r="B114" s="368"/>
      <c r="C114" s="223"/>
      <c r="D114" s="374"/>
      <c r="E114" s="358"/>
      <c r="F114" s="353"/>
      <c r="G114" s="354"/>
      <c r="H114" s="323"/>
      <c r="I114" s="322"/>
      <c r="J114" s="337" t="s">
        <v>398</v>
      </c>
      <c r="K114" s="336"/>
      <c r="L114" s="337"/>
      <c r="M114" s="338"/>
      <c r="N114" s="327"/>
      <c r="O114" s="328"/>
      <c r="P114" s="328"/>
      <c r="Q114" s="327"/>
      <c r="R114" s="328"/>
      <c r="S114" s="328"/>
      <c r="T114" s="339"/>
      <c r="U114" s="340"/>
      <c r="V114" s="340"/>
      <c r="W114" s="341"/>
      <c r="X114" s="342"/>
      <c r="Y114" s="320"/>
      <c r="Z114" s="328"/>
      <c r="AA114" s="328"/>
      <c r="AB114" s="11"/>
      <c r="AC114" s="217"/>
      <c r="AD114" s="218"/>
      <c r="AE114" s="219"/>
      <c r="AF114" s="11"/>
      <c r="AG114" s="11"/>
      <c r="AH114" s="11"/>
      <c r="AI114" s="11"/>
      <c r="AJ114" s="11"/>
      <c r="AK114" s="11"/>
      <c r="AL114" s="11"/>
      <c r="AM114" s="11"/>
      <c r="AN114" s="11"/>
      <c r="AO114" s="11"/>
      <c r="AP114" s="11"/>
      <c r="AQ114" s="11"/>
      <c r="AR114" s="11"/>
      <c r="AS114" s="225"/>
    </row>
    <row r="115" spans="1:45" s="221" customFormat="1" ht="20" customHeight="1">
      <c r="A115" s="215"/>
      <c r="B115" s="366" t="str">
        <f>IF(D115="","",ヘッダ!$C$5)</f>
        <v>Social Login</v>
      </c>
      <c r="C115" s="223"/>
      <c r="D115" s="374" t="s">
        <v>368</v>
      </c>
      <c r="E115" s="358"/>
      <c r="F115" s="353"/>
      <c r="G115" s="354"/>
      <c r="H115" s="323"/>
      <c r="I115" s="322" t="s">
        <v>401</v>
      </c>
      <c r="J115" s="337" t="s">
        <v>393</v>
      </c>
      <c r="K115" s="336"/>
      <c r="L115" s="337"/>
      <c r="M115" s="338"/>
      <c r="N115" s="327"/>
      <c r="O115" s="328"/>
      <c r="P115" s="328"/>
      <c r="Q115" s="327"/>
      <c r="R115" s="328"/>
      <c r="S115" s="328"/>
      <c r="T115" s="339"/>
      <c r="U115" s="340"/>
      <c r="V115" s="340"/>
      <c r="W115" s="341"/>
      <c r="X115" s="342"/>
      <c r="Y115" s="320"/>
      <c r="Z115" s="328"/>
      <c r="AA115" s="328"/>
      <c r="AB115" s="11"/>
      <c r="AC115" s="217"/>
      <c r="AD115" s="218"/>
      <c r="AE115" s="219"/>
      <c r="AF115" s="11"/>
      <c r="AG115" s="11"/>
      <c r="AH115" s="11"/>
      <c r="AI115" s="11"/>
      <c r="AJ115" s="11"/>
      <c r="AK115" s="11"/>
      <c r="AL115" s="11"/>
      <c r="AM115" s="11"/>
      <c r="AN115" s="11"/>
      <c r="AO115" s="11"/>
      <c r="AP115" s="11"/>
      <c r="AQ115" s="11"/>
      <c r="AR115" s="11"/>
      <c r="AS115" s="225"/>
    </row>
    <row r="116" spans="1:45" s="221" customFormat="1" ht="20" customHeight="1">
      <c r="A116" s="215"/>
      <c r="B116" s="367"/>
      <c r="C116" s="223"/>
      <c r="D116" s="374"/>
      <c r="E116" s="358"/>
      <c r="F116" s="353"/>
      <c r="G116" s="354"/>
      <c r="H116" s="323"/>
      <c r="I116" s="322"/>
      <c r="J116" s="337" t="s">
        <v>394</v>
      </c>
      <c r="K116" s="336"/>
      <c r="L116" s="337"/>
      <c r="M116" s="338"/>
      <c r="N116" s="327"/>
      <c r="O116" s="328"/>
      <c r="P116" s="328"/>
      <c r="Q116" s="327"/>
      <c r="R116" s="328"/>
      <c r="S116" s="328"/>
      <c r="T116" s="339"/>
      <c r="U116" s="340"/>
      <c r="V116" s="340"/>
      <c r="W116" s="341"/>
      <c r="X116" s="342"/>
      <c r="Y116" s="320"/>
      <c r="Z116" s="328"/>
      <c r="AA116" s="328"/>
      <c r="AB116" s="11"/>
      <c r="AC116" s="217"/>
      <c r="AD116" s="218"/>
      <c r="AE116" s="219"/>
      <c r="AF116" s="11"/>
      <c r="AG116" s="11"/>
      <c r="AH116" s="11"/>
      <c r="AI116" s="11"/>
      <c r="AJ116" s="11"/>
      <c r="AK116" s="11"/>
      <c r="AL116" s="11"/>
      <c r="AM116" s="11"/>
      <c r="AN116" s="11"/>
      <c r="AO116" s="11"/>
      <c r="AP116" s="11"/>
      <c r="AQ116" s="11"/>
      <c r="AR116" s="11"/>
      <c r="AS116" s="225"/>
    </row>
    <row r="117" spans="1:45" s="221" customFormat="1" ht="20" customHeight="1">
      <c r="A117" s="215"/>
      <c r="B117" s="367"/>
      <c r="C117" s="223"/>
      <c r="D117" s="374"/>
      <c r="E117" s="358"/>
      <c r="F117" s="353"/>
      <c r="G117" s="354"/>
      <c r="H117" s="323"/>
      <c r="I117" s="322"/>
      <c r="J117" s="337" t="s">
        <v>395</v>
      </c>
      <c r="K117" s="336"/>
      <c r="L117" s="337"/>
      <c r="M117" s="338"/>
      <c r="N117" s="327"/>
      <c r="O117" s="328"/>
      <c r="P117" s="328"/>
      <c r="Q117" s="327"/>
      <c r="R117" s="328"/>
      <c r="S117" s="328"/>
      <c r="T117" s="339"/>
      <c r="U117" s="340"/>
      <c r="V117" s="340"/>
      <c r="W117" s="341"/>
      <c r="X117" s="342"/>
      <c r="Y117" s="320"/>
      <c r="Z117" s="328"/>
      <c r="AA117" s="328"/>
      <c r="AB117" s="11"/>
      <c r="AC117" s="217"/>
      <c r="AD117" s="218"/>
      <c r="AE117" s="219"/>
      <c r="AF117" s="11"/>
      <c r="AG117" s="11"/>
      <c r="AH117" s="11"/>
      <c r="AI117" s="11"/>
      <c r="AJ117" s="11"/>
      <c r="AK117" s="11"/>
      <c r="AL117" s="11"/>
      <c r="AM117" s="11"/>
      <c r="AN117" s="11"/>
      <c r="AO117" s="11"/>
      <c r="AP117" s="11"/>
      <c r="AQ117" s="11"/>
      <c r="AR117" s="11"/>
      <c r="AS117" s="225"/>
    </row>
    <row r="118" spans="1:45" s="221" customFormat="1" ht="20" customHeight="1">
      <c r="A118" s="215"/>
      <c r="B118" s="367"/>
      <c r="C118" s="223"/>
      <c r="D118" s="374"/>
      <c r="E118" s="358"/>
      <c r="F118" s="353"/>
      <c r="G118" s="354"/>
      <c r="H118" s="323"/>
      <c r="I118" s="322"/>
      <c r="J118" s="337" t="s">
        <v>396</v>
      </c>
      <c r="K118" s="336"/>
      <c r="L118" s="337"/>
      <c r="M118" s="338"/>
      <c r="N118" s="327"/>
      <c r="O118" s="328"/>
      <c r="P118" s="328"/>
      <c r="Q118" s="327"/>
      <c r="R118" s="328"/>
      <c r="S118" s="328"/>
      <c r="T118" s="339"/>
      <c r="U118" s="340"/>
      <c r="V118" s="340"/>
      <c r="W118" s="341"/>
      <c r="X118" s="342"/>
      <c r="Y118" s="320"/>
      <c r="Z118" s="328"/>
      <c r="AA118" s="328"/>
      <c r="AB118" s="11"/>
      <c r="AC118" s="217"/>
      <c r="AD118" s="218"/>
      <c r="AE118" s="219"/>
      <c r="AF118" s="11"/>
      <c r="AG118" s="11"/>
      <c r="AH118" s="11"/>
      <c r="AI118" s="11"/>
      <c r="AJ118" s="11"/>
      <c r="AK118" s="11"/>
      <c r="AL118" s="11"/>
      <c r="AM118" s="11"/>
      <c r="AN118" s="11"/>
      <c r="AO118" s="11"/>
      <c r="AP118" s="11"/>
      <c r="AQ118" s="11"/>
      <c r="AR118" s="11"/>
      <c r="AS118" s="225"/>
    </row>
    <row r="119" spans="1:45" s="221" customFormat="1" ht="20" customHeight="1">
      <c r="A119" s="215"/>
      <c r="B119" s="367"/>
      <c r="C119" s="223"/>
      <c r="D119" s="374"/>
      <c r="E119" s="358"/>
      <c r="F119" s="353"/>
      <c r="G119" s="354"/>
      <c r="H119" s="323"/>
      <c r="I119" s="322"/>
      <c r="J119" s="337" t="s">
        <v>397</v>
      </c>
      <c r="K119" s="336"/>
      <c r="L119" s="337"/>
      <c r="M119" s="338"/>
      <c r="N119" s="327"/>
      <c r="O119" s="328"/>
      <c r="P119" s="328"/>
      <c r="Q119" s="327"/>
      <c r="R119" s="328"/>
      <c r="S119" s="328"/>
      <c r="T119" s="339"/>
      <c r="U119" s="340"/>
      <c r="V119" s="340"/>
      <c r="W119" s="341"/>
      <c r="X119" s="342"/>
      <c r="Y119" s="320"/>
      <c r="Z119" s="328"/>
      <c r="AA119" s="328"/>
      <c r="AB119" s="11"/>
      <c r="AC119" s="217"/>
      <c r="AD119" s="218"/>
      <c r="AE119" s="219"/>
      <c r="AF119" s="11"/>
      <c r="AG119" s="11"/>
      <c r="AH119" s="11"/>
      <c r="AI119" s="11"/>
      <c r="AJ119" s="11"/>
      <c r="AK119" s="11"/>
      <c r="AL119" s="11"/>
      <c r="AM119" s="11"/>
      <c r="AN119" s="11"/>
      <c r="AO119" s="11"/>
      <c r="AP119" s="11"/>
      <c r="AQ119" s="11"/>
      <c r="AR119" s="11"/>
      <c r="AS119" s="225"/>
    </row>
    <row r="120" spans="1:45" s="221" customFormat="1" ht="20" customHeight="1">
      <c r="A120" s="215"/>
      <c r="B120" s="367"/>
      <c r="C120" s="223"/>
      <c r="D120" s="374"/>
      <c r="E120" s="358"/>
      <c r="F120" s="353"/>
      <c r="G120" s="354"/>
      <c r="H120" s="323"/>
      <c r="I120" s="322"/>
      <c r="J120" s="337" t="s">
        <v>399</v>
      </c>
      <c r="K120" s="336"/>
      <c r="L120" s="337"/>
      <c r="M120" s="338"/>
      <c r="N120" s="327"/>
      <c r="O120" s="328"/>
      <c r="P120" s="328"/>
      <c r="Q120" s="327"/>
      <c r="R120" s="328"/>
      <c r="S120" s="328"/>
      <c r="T120" s="339"/>
      <c r="U120" s="340"/>
      <c r="V120" s="340"/>
      <c r="W120" s="341"/>
      <c r="X120" s="342"/>
      <c r="Y120" s="320"/>
      <c r="Z120" s="328"/>
      <c r="AA120" s="328"/>
      <c r="AB120" s="11"/>
      <c r="AC120" s="217"/>
      <c r="AD120" s="218"/>
      <c r="AE120" s="219"/>
      <c r="AF120" s="11"/>
      <c r="AG120" s="11"/>
      <c r="AH120" s="11"/>
      <c r="AI120" s="11"/>
      <c r="AJ120" s="11"/>
      <c r="AK120" s="11"/>
      <c r="AL120" s="11"/>
      <c r="AM120" s="11"/>
      <c r="AN120" s="11"/>
      <c r="AO120" s="11"/>
      <c r="AP120" s="11"/>
      <c r="AQ120" s="11"/>
      <c r="AR120" s="11"/>
      <c r="AS120" s="225"/>
    </row>
    <row r="121" spans="1:45" s="221" customFormat="1" ht="20" customHeight="1">
      <c r="A121" s="215"/>
      <c r="B121" s="368"/>
      <c r="C121" s="223"/>
      <c r="D121" s="374"/>
      <c r="E121" s="358"/>
      <c r="F121" s="353"/>
      <c r="G121" s="354"/>
      <c r="H121" s="323"/>
      <c r="I121" s="322"/>
      <c r="J121" s="337" t="s">
        <v>398</v>
      </c>
      <c r="K121" s="336"/>
      <c r="L121" s="337"/>
      <c r="M121" s="338"/>
      <c r="N121" s="327"/>
      <c r="O121" s="328"/>
      <c r="P121" s="328"/>
      <c r="Q121" s="327"/>
      <c r="R121" s="328"/>
      <c r="S121" s="328"/>
      <c r="T121" s="339"/>
      <c r="U121" s="340"/>
      <c r="V121" s="340"/>
      <c r="W121" s="341"/>
      <c r="X121" s="342"/>
      <c r="Y121" s="320"/>
      <c r="Z121" s="328"/>
      <c r="AA121" s="328"/>
      <c r="AB121" s="11"/>
      <c r="AC121" s="217"/>
      <c r="AD121" s="218"/>
      <c r="AE121" s="219"/>
      <c r="AF121" s="11"/>
      <c r="AG121" s="11"/>
      <c r="AH121" s="11"/>
      <c r="AI121" s="11"/>
      <c r="AJ121" s="11"/>
      <c r="AK121" s="11"/>
      <c r="AL121" s="11"/>
      <c r="AM121" s="11"/>
      <c r="AN121" s="11"/>
      <c r="AO121" s="11"/>
      <c r="AP121" s="11"/>
      <c r="AQ121" s="11"/>
      <c r="AR121" s="11"/>
      <c r="AS121" s="225"/>
    </row>
    <row r="122" spans="1:45" s="221" customFormat="1" ht="20" customHeight="1">
      <c r="A122" s="215"/>
      <c r="B122" s="366" t="str">
        <f>IF(D122="","",ヘッダ!$C$5)</f>
        <v>Social Login</v>
      </c>
      <c r="C122" s="223"/>
      <c r="D122" s="374" t="s">
        <v>376</v>
      </c>
      <c r="E122" s="358"/>
      <c r="F122" s="353"/>
      <c r="G122" s="354"/>
      <c r="H122" s="323"/>
      <c r="I122" s="322" t="s">
        <v>402</v>
      </c>
      <c r="J122" s="337" t="s">
        <v>393</v>
      </c>
      <c r="K122" s="336"/>
      <c r="L122" s="337"/>
      <c r="M122" s="338"/>
      <c r="N122" s="327"/>
      <c r="O122" s="328"/>
      <c r="P122" s="328"/>
      <c r="Q122" s="327"/>
      <c r="R122" s="328"/>
      <c r="S122" s="328"/>
      <c r="T122" s="339"/>
      <c r="U122" s="340"/>
      <c r="V122" s="340"/>
      <c r="W122" s="341"/>
      <c r="X122" s="342"/>
      <c r="Y122" s="320"/>
      <c r="Z122" s="328"/>
      <c r="AA122" s="328"/>
      <c r="AB122" s="11"/>
      <c r="AC122" s="217"/>
      <c r="AD122" s="218"/>
      <c r="AE122" s="219"/>
      <c r="AF122" s="11"/>
      <c r="AG122" s="11"/>
      <c r="AH122" s="11"/>
      <c r="AI122" s="11"/>
      <c r="AJ122" s="11"/>
      <c r="AK122" s="11"/>
      <c r="AL122" s="11"/>
      <c r="AM122" s="11"/>
      <c r="AN122" s="11"/>
      <c r="AO122" s="11"/>
      <c r="AP122" s="11"/>
      <c r="AQ122" s="11"/>
      <c r="AR122" s="11"/>
      <c r="AS122" s="225"/>
    </row>
    <row r="123" spans="1:45" s="221" customFormat="1" ht="20" customHeight="1">
      <c r="A123" s="215"/>
      <c r="B123" s="367"/>
      <c r="C123" s="223"/>
      <c r="D123" s="374"/>
      <c r="E123" s="358"/>
      <c r="F123" s="353"/>
      <c r="G123" s="354"/>
      <c r="H123" s="323"/>
      <c r="I123" s="322"/>
      <c r="J123" s="337" t="s">
        <v>394</v>
      </c>
      <c r="K123" s="336"/>
      <c r="L123" s="337"/>
      <c r="M123" s="338"/>
      <c r="N123" s="327"/>
      <c r="O123" s="328"/>
      <c r="P123" s="328"/>
      <c r="Q123" s="327"/>
      <c r="R123" s="328"/>
      <c r="S123" s="328"/>
      <c r="T123" s="339"/>
      <c r="U123" s="340"/>
      <c r="V123" s="340"/>
      <c r="W123" s="341"/>
      <c r="X123" s="342"/>
      <c r="Y123" s="320"/>
      <c r="Z123" s="328"/>
      <c r="AA123" s="328"/>
      <c r="AB123" s="11"/>
      <c r="AC123" s="217"/>
      <c r="AD123" s="218"/>
      <c r="AE123" s="219"/>
      <c r="AF123" s="11"/>
      <c r="AG123" s="11"/>
      <c r="AH123" s="11"/>
      <c r="AI123" s="11"/>
      <c r="AJ123" s="11"/>
      <c r="AK123" s="11"/>
      <c r="AL123" s="11"/>
      <c r="AM123" s="11"/>
      <c r="AN123" s="11"/>
      <c r="AO123" s="11"/>
      <c r="AP123" s="11"/>
      <c r="AQ123" s="11"/>
      <c r="AR123" s="11"/>
      <c r="AS123" s="225"/>
    </row>
    <row r="124" spans="1:45" s="221" customFormat="1" ht="20" customHeight="1">
      <c r="A124" s="215"/>
      <c r="B124" s="367"/>
      <c r="C124" s="223"/>
      <c r="D124" s="374"/>
      <c r="E124" s="358"/>
      <c r="F124" s="353"/>
      <c r="G124" s="354"/>
      <c r="H124" s="323"/>
      <c r="I124" s="322"/>
      <c r="J124" s="337" t="s">
        <v>395</v>
      </c>
      <c r="K124" s="336"/>
      <c r="L124" s="337"/>
      <c r="M124" s="338"/>
      <c r="N124" s="327"/>
      <c r="O124" s="328"/>
      <c r="P124" s="328"/>
      <c r="Q124" s="327"/>
      <c r="R124" s="328"/>
      <c r="S124" s="328"/>
      <c r="T124" s="339"/>
      <c r="U124" s="340"/>
      <c r="V124" s="340"/>
      <c r="W124" s="341"/>
      <c r="X124" s="342"/>
      <c r="Y124" s="320"/>
      <c r="Z124" s="328"/>
      <c r="AA124" s="328"/>
      <c r="AB124" s="11"/>
      <c r="AC124" s="217"/>
      <c r="AD124" s="218"/>
      <c r="AE124" s="219"/>
      <c r="AF124" s="11"/>
      <c r="AG124" s="11"/>
      <c r="AH124" s="11"/>
      <c r="AI124" s="11"/>
      <c r="AJ124" s="11"/>
      <c r="AK124" s="11"/>
      <c r="AL124" s="11"/>
      <c r="AM124" s="11"/>
      <c r="AN124" s="11"/>
      <c r="AO124" s="11"/>
      <c r="AP124" s="11"/>
      <c r="AQ124" s="11"/>
      <c r="AR124" s="11"/>
      <c r="AS124" s="225"/>
    </row>
    <row r="125" spans="1:45" s="221" customFormat="1" ht="20" customHeight="1">
      <c r="A125" s="215"/>
      <c r="B125" s="367"/>
      <c r="C125" s="223"/>
      <c r="D125" s="374"/>
      <c r="E125" s="358"/>
      <c r="F125" s="353"/>
      <c r="G125" s="354"/>
      <c r="H125" s="323"/>
      <c r="I125" s="322"/>
      <c r="J125" s="337" t="s">
        <v>396</v>
      </c>
      <c r="K125" s="336"/>
      <c r="L125" s="337"/>
      <c r="M125" s="338"/>
      <c r="N125" s="327"/>
      <c r="O125" s="328"/>
      <c r="P125" s="328"/>
      <c r="Q125" s="327"/>
      <c r="R125" s="328"/>
      <c r="S125" s="328"/>
      <c r="T125" s="339"/>
      <c r="U125" s="340"/>
      <c r="V125" s="340"/>
      <c r="W125" s="341"/>
      <c r="X125" s="342"/>
      <c r="Y125" s="320"/>
      <c r="Z125" s="328"/>
      <c r="AA125" s="328"/>
      <c r="AB125" s="11"/>
      <c r="AC125" s="217"/>
      <c r="AD125" s="218"/>
      <c r="AE125" s="219"/>
      <c r="AF125" s="11"/>
      <c r="AG125" s="11"/>
      <c r="AH125" s="11"/>
      <c r="AI125" s="11"/>
      <c r="AJ125" s="11"/>
      <c r="AK125" s="11"/>
      <c r="AL125" s="11"/>
      <c r="AM125" s="11"/>
      <c r="AN125" s="11"/>
      <c r="AO125" s="11"/>
      <c r="AP125" s="11"/>
      <c r="AQ125" s="11"/>
      <c r="AR125" s="11"/>
      <c r="AS125" s="225"/>
    </row>
    <row r="126" spans="1:45" s="221" customFormat="1" ht="20" customHeight="1">
      <c r="A126" s="215"/>
      <c r="B126" s="367"/>
      <c r="C126" s="223"/>
      <c r="D126" s="374"/>
      <c r="E126" s="358"/>
      <c r="F126" s="353"/>
      <c r="G126" s="354"/>
      <c r="H126" s="323"/>
      <c r="I126" s="322"/>
      <c r="J126" s="337" t="s">
        <v>397</v>
      </c>
      <c r="K126" s="336"/>
      <c r="L126" s="337"/>
      <c r="M126" s="338"/>
      <c r="N126" s="327"/>
      <c r="O126" s="328"/>
      <c r="P126" s="328"/>
      <c r="Q126" s="327"/>
      <c r="R126" s="328"/>
      <c r="S126" s="328"/>
      <c r="T126" s="339"/>
      <c r="U126" s="340"/>
      <c r="V126" s="340"/>
      <c r="W126" s="341"/>
      <c r="X126" s="342"/>
      <c r="Y126" s="320"/>
      <c r="Z126" s="328"/>
      <c r="AA126" s="328"/>
      <c r="AB126" s="11"/>
      <c r="AC126" s="217"/>
      <c r="AD126" s="218"/>
      <c r="AE126" s="219"/>
      <c r="AF126" s="11"/>
      <c r="AG126" s="11"/>
      <c r="AH126" s="11"/>
      <c r="AI126" s="11"/>
      <c r="AJ126" s="11"/>
      <c r="AK126" s="11"/>
      <c r="AL126" s="11"/>
      <c r="AM126" s="11"/>
      <c r="AN126" s="11"/>
      <c r="AO126" s="11"/>
      <c r="AP126" s="11"/>
      <c r="AQ126" s="11"/>
      <c r="AR126" s="11"/>
      <c r="AS126" s="225"/>
    </row>
    <row r="127" spans="1:45" s="221" customFormat="1" ht="20" customHeight="1">
      <c r="A127" s="215"/>
      <c r="B127" s="367"/>
      <c r="C127" s="223"/>
      <c r="D127" s="374"/>
      <c r="E127" s="358"/>
      <c r="F127" s="353"/>
      <c r="G127" s="354"/>
      <c r="H127" s="323"/>
      <c r="I127" s="322"/>
      <c r="J127" s="337" t="s">
        <v>399</v>
      </c>
      <c r="K127" s="336"/>
      <c r="L127" s="337"/>
      <c r="M127" s="338"/>
      <c r="N127" s="327"/>
      <c r="O127" s="328"/>
      <c r="P127" s="328"/>
      <c r="Q127" s="327"/>
      <c r="R127" s="328"/>
      <c r="S127" s="328"/>
      <c r="T127" s="339"/>
      <c r="U127" s="340"/>
      <c r="V127" s="340"/>
      <c r="W127" s="341"/>
      <c r="X127" s="342"/>
      <c r="Y127" s="320"/>
      <c r="Z127" s="328"/>
      <c r="AA127" s="328"/>
      <c r="AB127" s="11"/>
      <c r="AC127" s="217"/>
      <c r="AD127" s="218"/>
      <c r="AE127" s="219"/>
      <c r="AF127" s="11"/>
      <c r="AG127" s="11"/>
      <c r="AH127" s="11"/>
      <c r="AI127" s="11"/>
      <c r="AJ127" s="11"/>
      <c r="AK127" s="11"/>
      <c r="AL127" s="11"/>
      <c r="AM127" s="11"/>
      <c r="AN127" s="11"/>
      <c r="AO127" s="11"/>
      <c r="AP127" s="11"/>
      <c r="AQ127" s="11"/>
      <c r="AR127" s="11"/>
      <c r="AS127" s="225"/>
    </row>
    <row r="128" spans="1:45" s="221" customFormat="1" ht="20" customHeight="1">
      <c r="A128" s="215"/>
      <c r="B128" s="368"/>
      <c r="C128" s="223"/>
      <c r="D128" s="374"/>
      <c r="E128" s="358"/>
      <c r="F128" s="355"/>
      <c r="G128" s="356"/>
      <c r="H128" s="323"/>
      <c r="I128" s="322"/>
      <c r="J128" s="337" t="s">
        <v>398</v>
      </c>
      <c r="K128" s="336"/>
      <c r="L128" s="337"/>
      <c r="M128" s="338"/>
      <c r="N128" s="327"/>
      <c r="O128" s="328"/>
      <c r="P128" s="328"/>
      <c r="Q128" s="327"/>
      <c r="R128" s="328"/>
      <c r="S128" s="328"/>
      <c r="T128" s="339"/>
      <c r="U128" s="340"/>
      <c r="V128" s="340"/>
      <c r="W128" s="341"/>
      <c r="X128" s="342"/>
      <c r="Y128" s="320"/>
      <c r="Z128" s="328"/>
      <c r="AA128" s="328"/>
      <c r="AB128" s="11"/>
      <c r="AC128" s="217"/>
      <c r="AD128" s="218"/>
      <c r="AE128" s="219"/>
      <c r="AF128" s="11"/>
      <c r="AG128" s="11"/>
      <c r="AH128" s="11"/>
      <c r="AI128" s="11"/>
      <c r="AJ128" s="11"/>
      <c r="AK128" s="11"/>
      <c r="AL128" s="11"/>
      <c r="AM128" s="11"/>
      <c r="AN128" s="11"/>
      <c r="AO128" s="11"/>
      <c r="AP128" s="11"/>
      <c r="AQ128" s="11"/>
      <c r="AR128" s="11"/>
      <c r="AS128" s="225"/>
    </row>
    <row r="129" spans="1:45" s="221" customFormat="1" ht="20" customHeight="1">
      <c r="A129" s="215"/>
      <c r="B129" s="222"/>
      <c r="C129" s="223"/>
      <c r="D129" s="376"/>
      <c r="E129" s="358"/>
      <c r="F129" s="335"/>
      <c r="G129" s="345"/>
      <c r="H129" s="320"/>
      <c r="I129" s="321"/>
      <c r="J129" s="346"/>
      <c r="K129" s="336"/>
      <c r="L129" s="337"/>
      <c r="M129" s="338"/>
      <c r="N129" s="327"/>
      <c r="O129" s="328"/>
      <c r="P129" s="328"/>
      <c r="Q129" s="327"/>
      <c r="R129" s="328"/>
      <c r="S129" s="328"/>
      <c r="T129" s="339"/>
      <c r="U129" s="340"/>
      <c r="V129" s="340"/>
      <c r="W129" s="341"/>
      <c r="X129" s="342"/>
      <c r="Y129" s="320"/>
      <c r="Z129" s="328"/>
      <c r="AA129" s="328"/>
      <c r="AB129" s="11"/>
      <c r="AC129" s="217"/>
      <c r="AD129" s="218"/>
      <c r="AE129" s="219"/>
      <c r="AF129" s="11"/>
      <c r="AG129" s="11"/>
      <c r="AH129" s="11"/>
      <c r="AI129" s="11"/>
      <c r="AJ129" s="11"/>
      <c r="AK129" s="11"/>
      <c r="AL129" s="11"/>
      <c r="AM129" s="11"/>
      <c r="AN129" s="11"/>
      <c r="AO129" s="11"/>
      <c r="AP129" s="11"/>
      <c r="AQ129" s="11"/>
      <c r="AR129" s="11"/>
      <c r="AS129" s="225"/>
    </row>
    <row r="130" spans="1:45" s="221" customFormat="1" ht="20" customHeight="1">
      <c r="A130" s="215"/>
      <c r="B130" s="222"/>
      <c r="C130" s="223"/>
      <c r="D130" s="376"/>
      <c r="E130" s="358"/>
      <c r="F130" s="335"/>
      <c r="G130" s="345"/>
      <c r="H130" s="320"/>
      <c r="I130" s="321"/>
      <c r="J130" s="346"/>
      <c r="K130" s="336"/>
      <c r="L130" s="337"/>
      <c r="M130" s="338"/>
      <c r="N130" s="327"/>
      <c r="O130" s="328"/>
      <c r="P130" s="328"/>
      <c r="Q130" s="327"/>
      <c r="R130" s="328"/>
      <c r="S130" s="328"/>
      <c r="T130" s="339"/>
      <c r="U130" s="340"/>
      <c r="V130" s="340"/>
      <c r="W130" s="341"/>
      <c r="X130" s="342"/>
      <c r="Y130" s="320"/>
      <c r="Z130" s="328"/>
      <c r="AA130" s="328"/>
      <c r="AB130" s="11"/>
      <c r="AC130" s="217"/>
      <c r="AD130" s="218"/>
      <c r="AE130" s="219"/>
      <c r="AF130" s="11"/>
      <c r="AG130" s="11"/>
      <c r="AH130" s="11"/>
      <c r="AI130" s="11"/>
      <c r="AJ130" s="11"/>
      <c r="AK130" s="11"/>
      <c r="AL130" s="11"/>
      <c r="AM130" s="11"/>
      <c r="AN130" s="11"/>
      <c r="AO130" s="11"/>
      <c r="AP130" s="11"/>
      <c r="AQ130" s="11"/>
      <c r="AR130" s="11"/>
      <c r="AS130" s="225"/>
    </row>
    <row r="131" spans="1:45" s="221" customFormat="1" ht="20" customHeight="1">
      <c r="A131" s="215"/>
      <c r="B131" s="222"/>
      <c r="C131" s="223"/>
      <c r="D131" s="376"/>
      <c r="E131" s="358"/>
      <c r="F131" s="335"/>
      <c r="G131" s="345"/>
      <c r="H131" s="320"/>
      <c r="I131" s="321"/>
      <c r="J131" s="346"/>
      <c r="K131" s="336"/>
      <c r="L131" s="337"/>
      <c r="M131" s="338"/>
      <c r="N131" s="327"/>
      <c r="O131" s="328"/>
      <c r="P131" s="328"/>
      <c r="Q131" s="327"/>
      <c r="R131" s="328"/>
      <c r="S131" s="328"/>
      <c r="T131" s="339"/>
      <c r="U131" s="340"/>
      <c r="V131" s="340"/>
      <c r="W131" s="341"/>
      <c r="X131" s="342"/>
      <c r="Y131" s="320"/>
      <c r="Z131" s="328"/>
      <c r="AA131" s="328"/>
      <c r="AB131" s="11"/>
      <c r="AC131" s="217"/>
      <c r="AD131" s="218"/>
      <c r="AE131" s="219"/>
      <c r="AF131" s="11"/>
      <c r="AG131" s="11"/>
      <c r="AH131" s="11"/>
      <c r="AI131" s="11"/>
      <c r="AJ131" s="11"/>
      <c r="AK131" s="11"/>
      <c r="AL131" s="11"/>
      <c r="AM131" s="11"/>
      <c r="AN131" s="11"/>
      <c r="AO131" s="11"/>
      <c r="AP131" s="11"/>
      <c r="AQ131" s="11"/>
      <c r="AR131" s="11"/>
      <c r="AS131" s="225"/>
    </row>
    <row r="132" spans="1:45" s="221" customFormat="1" ht="20" customHeight="1">
      <c r="A132" s="215"/>
      <c r="B132" s="222"/>
      <c r="C132" s="223"/>
      <c r="D132" s="376"/>
      <c r="E132" s="358"/>
      <c r="F132" s="335"/>
      <c r="G132" s="345"/>
      <c r="H132" s="320"/>
      <c r="I132" s="321"/>
      <c r="J132" s="346"/>
      <c r="K132" s="336"/>
      <c r="L132" s="337"/>
      <c r="M132" s="338"/>
      <c r="N132" s="327"/>
      <c r="O132" s="328"/>
      <c r="P132" s="328"/>
      <c r="Q132" s="327"/>
      <c r="R132" s="328"/>
      <c r="S132" s="328"/>
      <c r="T132" s="339"/>
      <c r="U132" s="340"/>
      <c r="V132" s="340"/>
      <c r="W132" s="341"/>
      <c r="X132" s="342"/>
      <c r="Y132" s="320"/>
      <c r="Z132" s="328"/>
      <c r="AA132" s="328"/>
      <c r="AB132" s="11"/>
      <c r="AC132" s="217"/>
      <c r="AD132" s="218"/>
      <c r="AE132" s="219"/>
      <c r="AF132" s="11"/>
      <c r="AG132" s="11"/>
      <c r="AH132" s="11"/>
      <c r="AI132" s="11"/>
      <c r="AJ132" s="11"/>
      <c r="AK132" s="11"/>
      <c r="AL132" s="11"/>
      <c r="AM132" s="11"/>
      <c r="AN132" s="11"/>
      <c r="AO132" s="11"/>
      <c r="AP132" s="11"/>
      <c r="AQ132" s="11"/>
      <c r="AR132" s="11"/>
      <c r="AS132" s="225"/>
    </row>
    <row r="133" spans="1:45" s="221" customFormat="1" ht="20" customHeight="1">
      <c r="A133" s="215"/>
      <c r="B133" s="222" t="str">
        <f>IF(D133="","",ヘッダ!$C$5)</f>
        <v/>
      </c>
      <c r="C133" s="223"/>
      <c r="D133" s="376"/>
      <c r="E133" s="358"/>
      <c r="F133" s="335"/>
      <c r="G133" s="345"/>
      <c r="H133" s="320"/>
      <c r="I133" s="321"/>
      <c r="J133" s="346"/>
      <c r="K133" s="336"/>
      <c r="L133" s="337"/>
      <c r="M133" s="338"/>
      <c r="N133" s="327"/>
      <c r="O133" s="328"/>
      <c r="P133" s="328"/>
      <c r="Q133" s="327"/>
      <c r="R133" s="328"/>
      <c r="S133" s="328"/>
      <c r="T133" s="339"/>
      <c r="U133" s="340"/>
      <c r="V133" s="340"/>
      <c r="W133" s="341"/>
      <c r="X133" s="342"/>
      <c r="Y133" s="320"/>
      <c r="Z133" s="328"/>
      <c r="AA133" s="328"/>
      <c r="AB133" s="11"/>
      <c r="AC133" s="217"/>
      <c r="AD133" s="218"/>
      <c r="AE133" s="219"/>
      <c r="AF133" s="11"/>
      <c r="AG133" s="11"/>
      <c r="AH133" s="11"/>
      <c r="AI133" s="11"/>
      <c r="AJ133" s="11"/>
      <c r="AK133" s="11"/>
      <c r="AL133" s="11"/>
      <c r="AM133" s="11"/>
      <c r="AN133" s="11"/>
      <c r="AO133" s="11"/>
      <c r="AP133" s="11"/>
      <c r="AQ133" s="11"/>
      <c r="AR133" s="11"/>
      <c r="AS133" s="225" t="str">
        <f>ヘッダ!$G$5</f>
        <v>02_単体テスト</v>
      </c>
    </row>
    <row r="134" spans="1:45" s="221" customFormat="1" ht="20" customHeight="1">
      <c r="A134" s="215"/>
      <c r="B134" s="222" t="str">
        <f>IF(D134="","",ヘッダ!$C$5)</f>
        <v/>
      </c>
      <c r="C134" s="223"/>
      <c r="D134" s="376"/>
      <c r="E134" s="358"/>
      <c r="F134" s="335"/>
      <c r="G134" s="345"/>
      <c r="H134" s="320"/>
      <c r="I134" s="320"/>
      <c r="J134" s="320"/>
      <c r="K134" s="336"/>
      <c r="L134" s="337"/>
      <c r="M134" s="338"/>
      <c r="N134" s="327"/>
      <c r="O134" s="328"/>
      <c r="P134" s="328"/>
      <c r="Q134" s="327"/>
      <c r="R134" s="328"/>
      <c r="S134" s="328"/>
      <c r="T134" s="339"/>
      <c r="U134" s="340"/>
      <c r="V134" s="340"/>
      <c r="W134" s="341"/>
      <c r="X134" s="342"/>
      <c r="Y134" s="320"/>
      <c r="Z134" s="328"/>
      <c r="AA134" s="328"/>
      <c r="AB134" s="11"/>
      <c r="AC134" s="217"/>
      <c r="AD134" s="218"/>
      <c r="AE134" s="219"/>
      <c r="AF134" s="11"/>
      <c r="AG134" s="11"/>
      <c r="AH134" s="11"/>
      <c r="AI134" s="11"/>
      <c r="AJ134" s="11"/>
      <c r="AK134" s="11"/>
      <c r="AL134" s="11"/>
      <c r="AM134" s="11"/>
      <c r="AN134" s="11"/>
      <c r="AO134" s="11"/>
      <c r="AP134" s="11"/>
      <c r="AQ134" s="11"/>
      <c r="AR134" s="11"/>
      <c r="AS134" s="225" t="str">
        <f>ヘッダ!$G$5</f>
        <v>02_単体テスト</v>
      </c>
    </row>
    <row r="135" spans="1:45" s="221" customFormat="1" ht="20" customHeight="1">
      <c r="A135" s="215"/>
      <c r="B135" s="222" t="str">
        <f>IF(D135="","",ヘッダ!$C$5)</f>
        <v/>
      </c>
      <c r="C135" s="223"/>
      <c r="D135" s="376"/>
      <c r="E135" s="358"/>
      <c r="F135" s="335"/>
      <c r="G135" s="345"/>
      <c r="H135" s="320"/>
      <c r="I135" s="320"/>
      <c r="J135" s="320"/>
      <c r="K135" s="336"/>
      <c r="L135" s="337"/>
      <c r="M135" s="338"/>
      <c r="N135" s="327"/>
      <c r="O135" s="328"/>
      <c r="P135" s="328"/>
      <c r="Q135" s="327"/>
      <c r="R135" s="328"/>
      <c r="S135" s="328"/>
      <c r="T135" s="339"/>
      <c r="U135" s="340"/>
      <c r="V135" s="340"/>
      <c r="W135" s="341"/>
      <c r="X135" s="342"/>
      <c r="Y135" s="320"/>
      <c r="Z135" s="328"/>
      <c r="AA135" s="328"/>
      <c r="AB135" s="11"/>
      <c r="AC135" s="217"/>
      <c r="AD135" s="218"/>
      <c r="AE135" s="219"/>
      <c r="AF135" s="11"/>
      <c r="AG135" s="11"/>
      <c r="AH135" s="11"/>
      <c r="AI135" s="11"/>
      <c r="AJ135" s="11"/>
      <c r="AK135" s="11"/>
      <c r="AL135" s="11"/>
      <c r="AM135" s="11"/>
      <c r="AN135" s="11"/>
      <c r="AO135" s="11"/>
      <c r="AP135" s="11"/>
      <c r="AQ135" s="11"/>
      <c r="AR135" s="11"/>
      <c r="AS135" s="225" t="str">
        <f>ヘッダ!$G$5</f>
        <v>02_単体テスト</v>
      </c>
    </row>
    <row r="136" spans="1:45" s="221" customFormat="1" ht="20" customHeight="1">
      <c r="A136" s="215"/>
      <c r="B136" s="222" t="str">
        <f>IF(D136="","",ヘッダ!$C$5)</f>
        <v/>
      </c>
      <c r="C136" s="223"/>
      <c r="D136" s="376"/>
      <c r="E136" s="358"/>
      <c r="F136" s="335"/>
      <c r="G136" s="345"/>
      <c r="H136" s="320"/>
      <c r="I136" s="320"/>
      <c r="J136" s="320"/>
      <c r="K136" s="336"/>
      <c r="L136" s="337"/>
      <c r="M136" s="338"/>
      <c r="N136" s="327"/>
      <c r="O136" s="328"/>
      <c r="P136" s="328"/>
      <c r="Q136" s="327"/>
      <c r="R136" s="328"/>
      <c r="S136" s="328"/>
      <c r="T136" s="339"/>
      <c r="U136" s="340"/>
      <c r="V136" s="340"/>
      <c r="W136" s="341"/>
      <c r="X136" s="342"/>
      <c r="Y136" s="320"/>
      <c r="Z136" s="328"/>
      <c r="AA136" s="328"/>
      <c r="AB136" s="11"/>
      <c r="AC136" s="217"/>
      <c r="AD136" s="218"/>
      <c r="AE136" s="219"/>
      <c r="AF136" s="11"/>
      <c r="AG136" s="11"/>
      <c r="AH136" s="11"/>
      <c r="AI136" s="11"/>
      <c r="AJ136" s="11"/>
      <c r="AK136" s="11"/>
      <c r="AL136" s="11"/>
      <c r="AM136" s="11"/>
      <c r="AN136" s="11"/>
      <c r="AO136" s="11"/>
      <c r="AP136" s="11"/>
      <c r="AQ136" s="11"/>
      <c r="AR136" s="11"/>
      <c r="AS136" s="225" t="str">
        <f>ヘッダ!$G$5</f>
        <v>02_単体テスト</v>
      </c>
    </row>
    <row r="137" spans="1:45" s="221" customFormat="1" ht="20" customHeight="1" thickBot="1">
      <c r="A137" s="215"/>
      <c r="B137" s="226" t="str">
        <f>IF(D137="","",ヘッダ!$C$5)</f>
        <v/>
      </c>
      <c r="C137" s="227"/>
      <c r="D137" s="377"/>
      <c r="E137" s="359"/>
      <c r="F137" s="347"/>
      <c r="G137" s="320"/>
      <c r="H137" s="320"/>
      <c r="I137" s="320"/>
      <c r="J137" s="320"/>
      <c r="K137" s="336"/>
      <c r="L137" s="337"/>
      <c r="M137" s="338"/>
      <c r="N137" s="327"/>
      <c r="O137" s="328"/>
      <c r="P137" s="328"/>
      <c r="Q137" s="327"/>
      <c r="R137" s="328"/>
      <c r="S137" s="328"/>
      <c r="T137" s="339"/>
      <c r="U137" s="340"/>
      <c r="V137" s="340"/>
      <c r="W137" s="341"/>
      <c r="X137" s="342"/>
      <c r="Y137" s="320"/>
      <c r="Z137" s="328"/>
      <c r="AA137" s="328"/>
      <c r="AB137" s="11"/>
      <c r="AC137" s="228"/>
      <c r="AD137" s="229"/>
      <c r="AE137" s="230"/>
      <c r="AF137" s="11"/>
      <c r="AG137" s="11"/>
      <c r="AH137" s="11"/>
      <c r="AI137" s="11"/>
      <c r="AJ137" s="11"/>
      <c r="AK137" s="11"/>
      <c r="AL137" s="11"/>
      <c r="AM137" s="11"/>
      <c r="AN137" s="11"/>
      <c r="AO137" s="11"/>
      <c r="AP137" s="11"/>
      <c r="AQ137" s="11"/>
      <c r="AR137" s="11"/>
      <c r="AS137" s="231" t="str">
        <f>ヘッダ!$G$5</f>
        <v>02_単体テスト</v>
      </c>
    </row>
    <row r="138" spans="1:45" s="221" customFormat="1">
      <c r="A138" s="215"/>
      <c r="C138" s="191" t="s">
        <v>15</v>
      </c>
      <c r="D138" s="372"/>
      <c r="J138" s="317"/>
      <c r="W138" s="232"/>
      <c r="AG138" s="233"/>
      <c r="AH138" s="233"/>
      <c r="AI138" s="233"/>
      <c r="AJ138" s="233"/>
      <c r="AK138" s="233"/>
      <c r="AL138" s="233"/>
      <c r="AM138" s="233"/>
      <c r="AN138" s="233"/>
      <c r="AO138" s="233"/>
      <c r="AP138" s="233"/>
      <c r="AQ138" s="233"/>
      <c r="AS138" s="11"/>
    </row>
  </sheetData>
  <sheetProtection formatColumns="0" formatRows="0" insertRows="0" deleteRows="0"/>
  <dataConsolidate/>
  <mergeCells count="72">
    <mergeCell ref="B108:B114"/>
    <mergeCell ref="B115:B121"/>
    <mergeCell ref="B122:B128"/>
    <mergeCell ref="D108:D114"/>
    <mergeCell ref="D115:D121"/>
    <mergeCell ref="D122:D128"/>
    <mergeCell ref="B10:B17"/>
    <mergeCell ref="B18:B24"/>
    <mergeCell ref="B25:B31"/>
    <mergeCell ref="B32:B39"/>
    <mergeCell ref="B40:B48"/>
    <mergeCell ref="B49:B55"/>
    <mergeCell ref="B56:B62"/>
    <mergeCell ref="B63:B71"/>
    <mergeCell ref="B72:B79"/>
    <mergeCell ref="B80:B86"/>
    <mergeCell ref="B87:B93"/>
    <mergeCell ref="B94:B100"/>
    <mergeCell ref="B101:B107"/>
    <mergeCell ref="F10:G71"/>
    <mergeCell ref="F72:G128"/>
    <mergeCell ref="D10:D17"/>
    <mergeCell ref="D18:D24"/>
    <mergeCell ref="D25:D31"/>
    <mergeCell ref="D32:D39"/>
    <mergeCell ref="D40:D48"/>
    <mergeCell ref="D56:D62"/>
    <mergeCell ref="D49:D55"/>
    <mergeCell ref="D63:D71"/>
    <mergeCell ref="D72:D79"/>
    <mergeCell ref="D80:D86"/>
    <mergeCell ref="D87:D93"/>
    <mergeCell ref="D94:D100"/>
    <mergeCell ref="D101:D107"/>
    <mergeCell ref="I101:I107"/>
    <mergeCell ref="I108:I114"/>
    <mergeCell ref="I115:I121"/>
    <mergeCell ref="I122:I128"/>
    <mergeCell ref="H101:H128"/>
    <mergeCell ref="H72:H100"/>
    <mergeCell ref="I72:I79"/>
    <mergeCell ref="I80:I86"/>
    <mergeCell ref="I87:I93"/>
    <mergeCell ref="I94:I100"/>
    <mergeCell ref="I10:I17"/>
    <mergeCell ref="I18:I24"/>
    <mergeCell ref="I25:I31"/>
    <mergeCell ref="I32:I39"/>
    <mergeCell ref="H40:H71"/>
    <mergeCell ref="I40:I48"/>
    <mergeCell ref="I49:I55"/>
    <mergeCell ref="I56:I62"/>
    <mergeCell ref="I63:I71"/>
    <mergeCell ref="N7:P7"/>
    <mergeCell ref="Q7:S7"/>
    <mergeCell ref="C2:D2"/>
    <mergeCell ref="B7:B8"/>
    <mergeCell ref="C7:D8"/>
    <mergeCell ref="E7:G8"/>
    <mergeCell ref="H7:H8"/>
    <mergeCell ref="I7:I8"/>
    <mergeCell ref="AC7:AE7"/>
    <mergeCell ref="H10:H39"/>
    <mergeCell ref="T7:V7"/>
    <mergeCell ref="W7:W8"/>
    <mergeCell ref="X7:X8"/>
    <mergeCell ref="Y7:Y8"/>
    <mergeCell ref="Z7:Z8"/>
    <mergeCell ref="AA7:AA8"/>
    <mergeCell ref="K7:K8"/>
    <mergeCell ref="L7:L8"/>
    <mergeCell ref="M7:M8"/>
  </mergeCells>
  <phoneticPr fontId="1"/>
  <conditionalFormatting sqref="K18:AA18 B18:E18 B134:AA137 C25:E25 K24:AA39 K20:S23 W20:AA23 B72:F72 B10:F10 C80:E80 C20:C24 E20:E24 B32:E32 C26:C31 E26:E31 B40:E40 C33:C39 E33:E39 C51:C55 E51:E55 K57:AA57 K51:AA55 I51:I54 K59:AA62 E58:E62 E64:E71 C87:E87 C81:C86 E81:E86 C88:C93 E88:E93 K95:AA97 E95:E100 K99:AA100 C58:C62 C64:C71 C95:C100 H10:H17 C11:C17 E11:E17 J10:M14 J17:M17 K15:M16 N10:AA17 I10:I16 K48:AA48 H48 C41:C48 E41:E48 H40:L47 Q40:AA47 K103:AA105 C103:C105 E103:E105 C73:C79 E73:E79 K65:AA93 J72:J73 J75:J79 J105:J107 J102">
    <cfRule type="expression" dxfId="89" priority="171">
      <formula>AND($D10&lt;&gt;"",$AA10&lt;&gt;"")</formula>
    </cfRule>
    <cfRule type="expression" dxfId="88" priority="172">
      <formula>$AA10&lt;&gt;""</formula>
    </cfRule>
  </conditionalFormatting>
  <conditionalFormatting sqref="C57 E57">
    <cfRule type="expression" dxfId="87" priority="145">
      <formula>AND($D57&lt;&gt;"",$AA57&lt;&gt;"")</formula>
    </cfRule>
    <cfRule type="expression" dxfId="86" priority="146">
      <formula>$AA57&lt;&gt;""</formula>
    </cfRule>
  </conditionalFormatting>
  <conditionalFormatting sqref="B129:G133 K106:AA133 C108:E108 C106:C107 E106:E107 C115:E115 C109:C114 E109:E114 C122:E122 C116:C121 E116:E121 C123:C128 E123:E128">
    <cfRule type="expression" dxfId="85" priority="139">
      <formula>AND($D106&lt;&gt;"",$AA106&lt;&gt;"")</formula>
    </cfRule>
    <cfRule type="expression" dxfId="84" priority="140">
      <formula>$AA106&lt;&gt;""</formula>
    </cfRule>
  </conditionalFormatting>
  <conditionalFormatting sqref="J129:J132">
    <cfRule type="expression" dxfId="83" priority="137">
      <formula>AND($D129&lt;&gt;"",$AA129&lt;&gt;"")</formula>
    </cfRule>
    <cfRule type="expression" dxfId="82" priority="138">
      <formula>$AA129&lt;&gt;""</formula>
    </cfRule>
  </conditionalFormatting>
  <conditionalFormatting sqref="K19:M19 C19 Q19:AA19 E19">
    <cfRule type="expression" dxfId="81" priority="113">
      <formula>AND($D19&lt;&gt;"",$AA19&lt;&gt;"")</formula>
    </cfRule>
    <cfRule type="expression" dxfId="80" priority="114">
      <formula>$AA19&lt;&gt;""</formula>
    </cfRule>
  </conditionalFormatting>
  <conditionalFormatting sqref="B101:E101 K101:AA102 C102 E102">
    <cfRule type="expression" dxfId="79" priority="127">
      <formula>AND($D101&lt;&gt;"",$AA101&lt;&gt;"")</formula>
    </cfRule>
    <cfRule type="expression" dxfId="78" priority="128">
      <formula>$AA101&lt;&gt;""</formula>
    </cfRule>
  </conditionalFormatting>
  <conditionalFormatting sqref="N19:P19">
    <cfRule type="expression" dxfId="77" priority="109">
      <formula>AND($D19&lt;&gt;"",$AA19&lt;&gt;"")</formula>
    </cfRule>
    <cfRule type="expression" dxfId="76" priority="110">
      <formula>$AA19&lt;&gt;""</formula>
    </cfRule>
  </conditionalFormatting>
  <conditionalFormatting sqref="I18:I23">
    <cfRule type="expression" dxfId="75" priority="73">
      <formula>AND($D18&lt;&gt;"",$AA18&lt;&gt;"")</formula>
    </cfRule>
    <cfRule type="expression" dxfId="74" priority="74">
      <formula>$AA18&lt;&gt;""</formula>
    </cfRule>
  </conditionalFormatting>
  <conditionalFormatting sqref="I25">
    <cfRule type="expression" dxfId="73" priority="101">
      <formula>AND($D24&lt;&gt;"",$AA24&lt;&gt;"")</formula>
    </cfRule>
    <cfRule type="expression" dxfId="72" priority="102">
      <formula>$AA24&lt;&gt;""</formula>
    </cfRule>
  </conditionalFormatting>
  <conditionalFormatting sqref="T20:V23">
    <cfRule type="expression" dxfId="71" priority="69">
      <formula>AND($D20&lt;&gt;"",$AA20&lt;&gt;"")</formula>
    </cfRule>
    <cfRule type="expression" dxfId="70" priority="70">
      <formula>$AA20&lt;&gt;""</formula>
    </cfRule>
  </conditionalFormatting>
  <conditionalFormatting sqref="I56">
    <cfRule type="expression" dxfId="69" priority="65">
      <formula>AND($D55&lt;&gt;"",$AA55&lt;&gt;"")</formula>
    </cfRule>
    <cfRule type="expression" dxfId="68" priority="66">
      <formula>$AA55&lt;&gt;""</formula>
    </cfRule>
  </conditionalFormatting>
  <conditionalFormatting sqref="J18:J38">
    <cfRule type="expression" dxfId="67" priority="39">
      <formula>AND($D18&lt;&gt;"",$AA18&lt;&gt;"")</formula>
    </cfRule>
    <cfRule type="expression" dxfId="66" priority="40">
      <formula>$AA18&lt;&gt;""</formula>
    </cfRule>
  </conditionalFormatting>
  <conditionalFormatting sqref="K58:AA58">
    <cfRule type="expression" dxfId="65" priority="175">
      <formula>AND($D56&lt;&gt;"",$AA58&lt;&gt;"")</formula>
    </cfRule>
    <cfRule type="expression" dxfId="64" priority="176">
      <formula>$AA58&lt;&gt;""</formula>
    </cfRule>
  </conditionalFormatting>
  <conditionalFormatting sqref="C56 E56 K56:AA56 C49 E49 I49 K63:AA63 C63 E63 C94 E94 K94:AA94 K49:AA49">
    <cfRule type="expression" dxfId="63" priority="177">
      <formula>AND(#REF!&lt;&gt;"",$AA49&lt;&gt;"")</formula>
    </cfRule>
    <cfRule type="expression" dxfId="62" priority="178">
      <formula>$AA49&lt;&gt;""</formula>
    </cfRule>
  </conditionalFormatting>
  <conditionalFormatting sqref="D56">
    <cfRule type="expression" dxfId="61" priority="181">
      <formula>AND($D56&lt;&gt;"",$AA58&lt;&gt;"")</formula>
    </cfRule>
    <cfRule type="expression" dxfId="60" priority="182">
      <formula>$AA58&lt;&gt;""</formula>
    </cfRule>
  </conditionalFormatting>
  <conditionalFormatting sqref="E50 I50 K64:AA64 K50:AA50 C50 J49:J62">
    <cfRule type="expression" dxfId="59" priority="197">
      <formula>AND($D48&lt;&gt;"",$AA49&lt;&gt;"")</formula>
    </cfRule>
    <cfRule type="expression" dxfId="58" priority="198">
      <formula>$AA49&lt;&gt;""</formula>
    </cfRule>
  </conditionalFormatting>
  <conditionalFormatting sqref="D49 D63 B49">
    <cfRule type="expression" dxfId="57" priority="207">
      <formula>AND($D49&lt;&gt;"",$AA50&lt;&gt;"")</formula>
    </cfRule>
    <cfRule type="expression" dxfId="56" priority="208">
      <formula>$AA50&lt;&gt;""</formula>
    </cfRule>
  </conditionalFormatting>
  <conditionalFormatting sqref="K98:AA98">
    <cfRule type="expression" dxfId="55" priority="211">
      <formula>AND($D94&lt;&gt;"",$AA98&lt;&gt;"")</formula>
    </cfRule>
    <cfRule type="expression" dxfId="54" priority="212">
      <formula>$AA98&lt;&gt;""</formula>
    </cfRule>
  </conditionalFormatting>
  <conditionalFormatting sqref="D94">
    <cfRule type="expression" dxfId="53" priority="217">
      <formula>AND($D94&lt;&gt;"",$AA98&lt;&gt;"")</formula>
    </cfRule>
    <cfRule type="expression" dxfId="52" priority="218">
      <formula>$AA98&lt;&gt;""</formula>
    </cfRule>
  </conditionalFormatting>
  <conditionalFormatting sqref="J63:J71">
    <cfRule type="expression" dxfId="51" priority="35">
      <formula>AND($D63&lt;&gt;"",$AA63&lt;&gt;"")</formula>
    </cfRule>
    <cfRule type="expression" dxfId="50" priority="36">
      <formula>$AA63&lt;&gt;""</formula>
    </cfRule>
  </conditionalFormatting>
  <conditionalFormatting sqref="J80:J93">
    <cfRule type="expression" dxfId="49" priority="33">
      <formula>AND($D80&lt;&gt;"",$AA80&lt;&gt;"")</formula>
    </cfRule>
    <cfRule type="expression" dxfId="48" priority="34">
      <formula>$AA80&lt;&gt;""</formula>
    </cfRule>
  </conditionalFormatting>
  <conditionalFormatting sqref="J94:J100">
    <cfRule type="expression" dxfId="47" priority="31">
      <formula>AND($D90&lt;&gt;"",$AA94&lt;&gt;"")</formula>
    </cfRule>
    <cfRule type="expression" dxfId="46" priority="32">
      <formula>$AA94&lt;&gt;""</formula>
    </cfRule>
  </conditionalFormatting>
  <conditionalFormatting sqref="J39">
    <cfRule type="expression" dxfId="45" priority="29">
      <formula>AND($D39&lt;&gt;"",$AA39&lt;&gt;"")</formula>
    </cfRule>
    <cfRule type="expression" dxfId="44" priority="30">
      <formula>$AA39&lt;&gt;""</formula>
    </cfRule>
  </conditionalFormatting>
  <conditionalFormatting sqref="J108:J121">
    <cfRule type="expression" dxfId="43" priority="27">
      <formula>AND($D108&lt;&gt;"",$AA108&lt;&gt;"")</formula>
    </cfRule>
    <cfRule type="expression" dxfId="42" priority="28">
      <formula>$AA108&lt;&gt;""</formula>
    </cfRule>
  </conditionalFormatting>
  <conditionalFormatting sqref="J122:J125">
    <cfRule type="expression" dxfId="41" priority="25">
      <formula>AND($D122&lt;&gt;"",$AA122&lt;&gt;"")</formula>
    </cfRule>
    <cfRule type="expression" dxfId="40" priority="26">
      <formula>$AA122&lt;&gt;""</formula>
    </cfRule>
  </conditionalFormatting>
  <conditionalFormatting sqref="J126:J128">
    <cfRule type="expression" dxfId="39" priority="23">
      <formula>AND($D126&lt;&gt;"",$AA126&lt;&gt;"")</formula>
    </cfRule>
    <cfRule type="expression" dxfId="38" priority="24">
      <formula>$AA126&lt;&gt;""</formula>
    </cfRule>
  </conditionalFormatting>
  <conditionalFormatting sqref="B56">
    <cfRule type="expression" dxfId="37" priority="221">
      <formula>AND($D58&lt;&gt;"",$AA58&lt;&gt;"")</formula>
    </cfRule>
    <cfRule type="expression" dxfId="36" priority="222">
      <formula>$AA58&lt;&gt;""</formula>
    </cfRule>
  </conditionalFormatting>
  <conditionalFormatting sqref="B63 J15">
    <cfRule type="expression" dxfId="35" priority="225">
      <formula>AND($D16&lt;&gt;"",$AA16&lt;&gt;"")</formula>
    </cfRule>
    <cfRule type="expression" dxfId="34" priority="226">
      <formula>$AA16&lt;&gt;""</formula>
    </cfRule>
  </conditionalFormatting>
  <conditionalFormatting sqref="B94">
    <cfRule type="expression" dxfId="33" priority="229">
      <formula>AND($D98&lt;&gt;"",$AA98&lt;&gt;"")</formula>
    </cfRule>
    <cfRule type="expression" dxfId="32" priority="230">
      <formula>$AA98&lt;&gt;""</formula>
    </cfRule>
  </conditionalFormatting>
  <conditionalFormatting sqref="B108">
    <cfRule type="expression" dxfId="31" priority="21">
      <formula>AND($D112&lt;&gt;"",$AA112&lt;&gt;"")</formula>
    </cfRule>
    <cfRule type="expression" dxfId="30" priority="22">
      <formula>$AA112&lt;&gt;""</formula>
    </cfRule>
  </conditionalFormatting>
  <conditionalFormatting sqref="B115">
    <cfRule type="expression" dxfId="29" priority="19">
      <formula>AND($D119&lt;&gt;"",$AA119&lt;&gt;"")</formula>
    </cfRule>
    <cfRule type="expression" dxfId="28" priority="20">
      <formula>$AA119&lt;&gt;""</formula>
    </cfRule>
  </conditionalFormatting>
  <conditionalFormatting sqref="B122">
    <cfRule type="expression" dxfId="27" priority="17">
      <formula>AND($D126&lt;&gt;"",$AA126&lt;&gt;"")</formula>
    </cfRule>
    <cfRule type="expression" dxfId="26" priority="18">
      <formula>$AA126&lt;&gt;""</formula>
    </cfRule>
  </conditionalFormatting>
  <conditionalFormatting sqref="B87">
    <cfRule type="expression" dxfId="25" priority="15">
      <formula>AND($D91&lt;&gt;"",$AA91&lt;&gt;"")</formula>
    </cfRule>
    <cfRule type="expression" dxfId="24" priority="16">
      <formula>$AA91&lt;&gt;""</formula>
    </cfRule>
  </conditionalFormatting>
  <conditionalFormatting sqref="B80">
    <cfRule type="expression" dxfId="23" priority="13">
      <formula>AND($D84&lt;&gt;"",$AA84&lt;&gt;"")</formula>
    </cfRule>
    <cfRule type="expression" dxfId="22" priority="14">
      <formula>$AA84&lt;&gt;""</formula>
    </cfRule>
  </conditionalFormatting>
  <conditionalFormatting sqref="B25">
    <cfRule type="expression" dxfId="21" priority="11">
      <formula>AND($D29&lt;&gt;"",$AA29&lt;&gt;"")</formula>
    </cfRule>
    <cfRule type="expression" dxfId="20" priority="12">
      <formula>$AA29&lt;&gt;""</formula>
    </cfRule>
  </conditionalFormatting>
  <conditionalFormatting sqref="M40:P47">
    <cfRule type="expression" dxfId="19" priority="7">
      <formula>AND($D40&lt;&gt;"",$AA40&lt;&gt;"")</formula>
    </cfRule>
    <cfRule type="expression" dxfId="18" priority="8">
      <formula>$AA40&lt;&gt;""</formula>
    </cfRule>
  </conditionalFormatting>
  <conditionalFormatting sqref="J103">
    <cfRule type="expression" dxfId="5" priority="245">
      <formula>AND($D74&lt;&gt;"",$AA74&lt;&gt;"")</formula>
    </cfRule>
    <cfRule type="expression" dxfId="4" priority="246">
      <formula>$AA74&lt;&gt;""</formula>
    </cfRule>
  </conditionalFormatting>
  <conditionalFormatting sqref="J101">
    <cfRule type="expression" dxfId="3" priority="3">
      <formula>AND($D101&lt;&gt;"",$AA101&lt;&gt;"")</formula>
    </cfRule>
    <cfRule type="expression" dxfId="2" priority="4">
      <formula>$AA101&lt;&gt;""</formula>
    </cfRule>
  </conditionalFormatting>
  <conditionalFormatting sqref="J104">
    <cfRule type="expression" dxfId="1" priority="1">
      <formula>AND($D75&lt;&gt;"",$AA75&lt;&gt;"")</formula>
    </cfRule>
    <cfRule type="expression" dxfId="0" priority="2">
      <formula>$AA75&lt;&gt;""</formula>
    </cfRule>
  </conditionalFormatting>
  <dataValidations disablePrompts="1" count="3">
    <dataValidation type="list" allowBlank="1" showInputMessage="1" showErrorMessage="1" sqref="G2:H2" xr:uid="{A2951EDA-DF02-4B71-A58F-1EA8FBAFD9A4}">
      <formula1>"ＰｒｅｐａｉｄＣｕｂｅ＋,ＤｅｂｉｔＣｕｂｅ＋"</formula1>
    </dataValidation>
    <dataValidation type="list" allowBlank="1" showInputMessage="1" showErrorMessage="1" sqref="E2:F2" xr:uid="{A8E45F4A-40AD-458C-AC56-040F48109256}">
      <formula1>サービス種別</formula1>
    </dataValidation>
    <dataValidation allowBlank="1" showDropDown="1" showInputMessage="1" showErrorMessage="1" sqref="M10:M137" xr:uid="{B51D8629-AB5A-4C23-A8F8-994648EE35BF}"/>
  </dataValidations>
  <pageMargins left="0.15748031496062992" right="0.15748031496062992" top="0.39370078740157483" bottom="0.39370078740157483" header="0.11811023622047245" footer="0.11811023622047245"/>
  <pageSetup paperSize="9" scale="34" fitToHeight="0" orientation="landscape" r:id="rId1"/>
  <headerFooter alignWithMargins="0">
    <oddFooter>&amp;C&amp;P／&amp;N</oddFooter>
  </headerFooter>
  <rowBreaks count="1" manualBreakCount="1">
    <brk id="71"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IN_日付チェック" altText="日付チェック">
                <anchor moveWithCells="1" sizeWithCells="1">
                  <from>
                    <xdr:col>1</xdr:col>
                    <xdr:colOff>63500</xdr:colOff>
                    <xdr:row>3</xdr:row>
                    <xdr:rowOff>63500</xdr:rowOff>
                  </from>
                  <to>
                    <xdr:col>3</xdr:col>
                    <xdr:colOff>304800</xdr:colOff>
                    <xdr:row>4</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9F8D3-1148-4889-9922-3D4FE4B79F73}">
  <sheetPr codeName="Sheet3">
    <pageSetUpPr fitToPage="1"/>
  </sheetPr>
  <dimension ref="A1:AS854"/>
  <sheetViews>
    <sheetView showGridLines="0" view="pageBreakPreview" topLeftCell="A2" zoomScale="85" zoomScaleNormal="100" zoomScaleSheetLayoutView="85" workbookViewId="0">
      <selection activeCell="I12" sqref="I12"/>
    </sheetView>
  </sheetViews>
  <sheetFormatPr baseColWidth="10" defaultColWidth="9" defaultRowHeight="20" outlineLevelCol="1"/>
  <cols>
    <col min="1" max="1" width="1.1640625" style="105" customWidth="1"/>
    <col min="2" max="2" width="13.5" style="106" customWidth="1" outlineLevel="1"/>
    <col min="3" max="3" width="1.6640625" style="101" customWidth="1"/>
    <col min="4" max="4" width="5.6640625" style="107" customWidth="1"/>
    <col min="5" max="6" width="3.1640625" style="108" customWidth="1"/>
    <col min="7" max="7" width="13.6640625" style="108" customWidth="1"/>
    <col min="8" max="8" width="26.33203125" style="108" customWidth="1"/>
    <col min="9" max="9" width="47.6640625" style="108" customWidth="1"/>
    <col min="10" max="10" width="49.83203125" style="108" customWidth="1"/>
    <col min="11" max="11" width="16.6640625" style="108" hidden="1" customWidth="1" outlineLevel="1"/>
    <col min="12" max="12" width="14.1640625" style="108" hidden="1" customWidth="1" outlineLevel="1"/>
    <col min="13" max="13" width="11.6640625" style="108" customWidth="1" collapsed="1"/>
    <col min="14" max="19" width="5.6640625" style="106" customWidth="1"/>
    <col min="20" max="22" width="5.6640625" style="106" hidden="1" customWidth="1" outlineLevel="1"/>
    <col min="23" max="23" width="9" style="109" customWidth="1" collapsed="1"/>
    <col min="24" max="24" width="9.83203125" style="106" customWidth="1"/>
    <col min="25" max="25" width="39" style="108" customWidth="1"/>
    <col min="26" max="27" width="7.6640625" style="108" customWidth="1"/>
    <col min="28" max="31" width="9" style="108"/>
    <col min="32" max="32" width="4.1640625" style="108" customWidth="1"/>
    <col min="33" max="34" width="8.6640625" style="110" customWidth="1"/>
    <col min="35" max="43" width="8.6640625" style="110" hidden="1" customWidth="1" outlineLevel="1"/>
    <col min="44" max="44" width="4.1640625" style="108" customWidth="1" collapsed="1"/>
    <col min="45" max="45" width="25.6640625" style="111" customWidth="1"/>
    <col min="46" max="16384" width="9" style="108"/>
  </cols>
  <sheetData>
    <row r="1" spans="1:45" s="33" customFormat="1" ht="19">
      <c r="A1" s="148"/>
      <c r="C1" s="34"/>
      <c r="D1" s="153"/>
      <c r="E1" s="153"/>
      <c r="F1" s="153"/>
      <c r="G1" s="153"/>
      <c r="I1" s="153"/>
      <c r="J1" s="153"/>
      <c r="K1" s="153"/>
      <c r="L1" s="153"/>
      <c r="M1" s="153"/>
      <c r="S1" s="35"/>
      <c r="T1" s="35"/>
      <c r="U1" s="153"/>
      <c r="V1" s="153"/>
      <c r="W1" s="153"/>
      <c r="X1" s="153"/>
      <c r="AA1" s="36"/>
      <c r="AG1" s="37"/>
      <c r="AH1" s="37"/>
      <c r="AI1" s="37"/>
      <c r="AJ1" s="37"/>
      <c r="AK1" s="37"/>
      <c r="AL1" s="37"/>
      <c r="AM1" s="37"/>
      <c r="AN1" s="37"/>
      <c r="AO1" s="37"/>
      <c r="AP1" s="37"/>
      <c r="AQ1" s="37"/>
      <c r="AS1" s="37"/>
    </row>
    <row r="2" spans="1:45" s="33" customFormat="1">
      <c r="A2" s="32"/>
      <c r="C2" s="280"/>
      <c r="D2" s="280"/>
      <c r="E2" s="153"/>
      <c r="F2" s="153"/>
      <c r="G2" s="153"/>
      <c r="I2" s="153"/>
      <c r="J2" s="153"/>
      <c r="K2" s="153"/>
      <c r="L2" s="153"/>
      <c r="M2" s="153"/>
      <c r="S2" s="35"/>
      <c r="T2" s="35"/>
      <c r="U2" s="153"/>
      <c r="V2" s="153"/>
      <c r="W2" s="153"/>
      <c r="X2" s="153"/>
      <c r="AH2" s="42"/>
      <c r="AI2" s="37"/>
      <c r="AJ2" s="37"/>
      <c r="AK2" s="37"/>
      <c r="AL2" s="37"/>
      <c r="AM2" s="37"/>
      <c r="AN2" s="37"/>
      <c r="AO2" s="37"/>
      <c r="AP2" s="37"/>
      <c r="AQ2" s="37"/>
      <c r="AS2" s="37"/>
    </row>
    <row r="3" spans="1:45" s="42" customFormat="1" ht="21" thickBot="1">
      <c r="A3" s="38"/>
      <c r="B3" s="39"/>
      <c r="C3" s="40"/>
      <c r="D3" s="41"/>
      <c r="N3" s="39"/>
      <c r="O3" s="39"/>
      <c r="P3" s="39"/>
      <c r="Q3" s="39"/>
      <c r="R3" s="39"/>
      <c r="S3" s="39"/>
      <c r="T3" s="39"/>
      <c r="U3" s="39"/>
      <c r="V3" s="39"/>
      <c r="W3" s="39"/>
      <c r="X3" s="39"/>
      <c r="AG3" s="42" t="s">
        <v>76</v>
      </c>
      <c r="AH3" s="37"/>
      <c r="AI3" s="43"/>
      <c r="AJ3" s="43"/>
      <c r="AK3" s="43"/>
      <c r="AL3" s="43"/>
      <c r="AM3" s="43"/>
      <c r="AN3" s="43"/>
      <c r="AO3" s="43"/>
      <c r="AP3" s="43"/>
      <c r="AQ3" s="43"/>
      <c r="AS3" s="43"/>
    </row>
    <row r="4" spans="1:45" s="42" customFormat="1">
      <c r="A4" s="38"/>
      <c r="B4" s="44"/>
      <c r="C4" s="45"/>
      <c r="D4" s="46" t="s">
        <v>26</v>
      </c>
      <c r="E4" s="47"/>
      <c r="F4" s="47"/>
      <c r="G4" s="47"/>
      <c r="H4" s="48"/>
      <c r="I4" s="48"/>
      <c r="J4" s="48"/>
      <c r="K4" s="48"/>
      <c r="L4" s="48"/>
      <c r="M4" s="48" t="s">
        <v>0</v>
      </c>
      <c r="N4" s="48" t="s">
        <v>0</v>
      </c>
      <c r="O4" s="48" t="s">
        <v>0</v>
      </c>
      <c r="P4" s="48" t="s">
        <v>0</v>
      </c>
      <c r="Q4" s="48" t="s">
        <v>0</v>
      </c>
      <c r="R4" s="48" t="s">
        <v>0</v>
      </c>
      <c r="S4" s="48" t="s">
        <v>0</v>
      </c>
      <c r="T4" s="48" t="s">
        <v>0</v>
      </c>
      <c r="U4" s="48" t="s">
        <v>0</v>
      </c>
      <c r="V4" s="48" t="s">
        <v>0</v>
      </c>
      <c r="W4" s="48" t="s">
        <v>0</v>
      </c>
      <c r="X4" s="48" t="s">
        <v>0</v>
      </c>
      <c r="Y4" s="48"/>
      <c r="Z4" s="48" t="s">
        <v>0</v>
      </c>
      <c r="AA4" s="48" t="s">
        <v>0</v>
      </c>
      <c r="AC4" s="49" t="s">
        <v>21</v>
      </c>
      <c r="AD4" s="50"/>
      <c r="AE4" s="50"/>
      <c r="AF4" s="50"/>
      <c r="AG4" s="139" t="s">
        <v>74</v>
      </c>
      <c r="AH4" s="140" t="s">
        <v>75</v>
      </c>
      <c r="AJ4" s="43"/>
      <c r="AK4" s="43"/>
      <c r="AL4" s="43"/>
      <c r="AM4" s="43"/>
      <c r="AN4" s="43"/>
      <c r="AO4" s="43"/>
      <c r="AP4" s="43"/>
      <c r="AQ4" s="43"/>
      <c r="AS4" s="43"/>
    </row>
    <row r="5" spans="1:45" s="42" customFormat="1" ht="21" thickBot="1">
      <c r="A5" s="38"/>
      <c r="B5" s="51"/>
      <c r="C5" s="52"/>
      <c r="D5" s="53">
        <f ca="1">SUMPRODUCT((OFFSET(D5,明細開始行-$AG$5,0,$AH$5-明細開始行+1)&lt;&gt;0)*1)</f>
        <v>60</v>
      </c>
      <c r="E5" s="47"/>
      <c r="F5" s="47"/>
      <c r="G5" s="47"/>
      <c r="H5" s="54"/>
      <c r="I5" s="54"/>
      <c r="J5" s="54"/>
      <c r="K5" s="54"/>
      <c r="L5" s="54"/>
      <c r="M5" s="54">
        <f t="shared" ref="M5:V5" ca="1" si="0">SUMPRODUCT((OFFSET(M5,明細開始行-$AG$5,0,$AH$5-明細開始行+1)&lt;&gt;0)*(OFFSET($AA5,明細開始行-$AG$5,0,$AH$5-明細開始行+1)=0))</f>
        <v>59</v>
      </c>
      <c r="N5" s="54">
        <f t="shared" ca="1" si="0"/>
        <v>59</v>
      </c>
      <c r="O5" s="54">
        <f t="shared" ca="1" si="0"/>
        <v>59</v>
      </c>
      <c r="P5" s="54">
        <f t="shared" ca="1" si="0"/>
        <v>59</v>
      </c>
      <c r="Q5" s="54">
        <f t="shared" ca="1" si="0"/>
        <v>2</v>
      </c>
      <c r="R5" s="54">
        <f t="shared" ca="1" si="0"/>
        <v>2</v>
      </c>
      <c r="S5" s="54">
        <f t="shared" ca="1" si="0"/>
        <v>2</v>
      </c>
      <c r="T5" s="54">
        <f t="shared" ca="1" si="0"/>
        <v>0</v>
      </c>
      <c r="U5" s="54">
        <f t="shared" ca="1" si="0"/>
        <v>0</v>
      </c>
      <c r="V5" s="54">
        <f t="shared" ca="1" si="0"/>
        <v>0</v>
      </c>
      <c r="W5" s="54">
        <f ca="1">SUMPRODUCT((OFFSET(W5,明細開始行-$AG$5,0,$AH$5-明細開始行+1))*(OFFSET($AA5,明細開始行-$AG$5,0,$AH$5-明細開始行+1)=0))</f>
        <v>0</v>
      </c>
      <c r="X5" s="54">
        <f ca="1">SUMPRODUCT((OFFSET(X5,明細開始行-$AG$5,0,$AH$5-明細開始行+1)&lt;&gt;0)*(OFFSET($AA5,明細開始行-$AG$5,0,$AH$5-明細開始行+1)=0))</f>
        <v>2</v>
      </c>
      <c r="Y5" s="54"/>
      <c r="Z5" s="54">
        <f ca="1">SUMPRODUCT((OFFSET(Z5,明細開始行-$AG$5,0,$AH$5-明細開始行+1)&lt;&gt;0)*(OFFSET($AA5,明細開始行-$AG$5,0,$AH$5-明細開始行+1)=0))</f>
        <v>0</v>
      </c>
      <c r="AA5" s="54">
        <f ca="1">SUMPRODUCT((OFFSET(AA5,明細開始行-$AG$5,0,$AH$5-明細開始行+1)&lt;&gt;0)*1)</f>
        <v>1</v>
      </c>
      <c r="AC5" s="50" t="s">
        <v>23</v>
      </c>
      <c r="AD5" s="50"/>
      <c r="AE5" s="50"/>
      <c r="AF5" s="50"/>
      <c r="AG5" s="141">
        <f>ROW(D5)</f>
        <v>5</v>
      </c>
      <c r="AH5" s="142">
        <f>MATCH("END_LINE",$C:$C,0)-1</f>
        <v>156</v>
      </c>
      <c r="AJ5" s="37"/>
      <c r="AK5" s="37"/>
      <c r="AL5" s="37"/>
      <c r="AM5" s="37"/>
      <c r="AN5" s="37"/>
      <c r="AO5" s="37"/>
      <c r="AP5" s="37"/>
      <c r="AQ5" s="37"/>
      <c r="AS5" s="43"/>
    </row>
    <row r="6" spans="1:45" s="42" customFormat="1" ht="21" thickBot="1">
      <c r="A6" s="38"/>
      <c r="B6" s="39"/>
      <c r="C6" s="40"/>
      <c r="D6" s="41"/>
      <c r="N6" s="39"/>
      <c r="O6" s="39"/>
      <c r="P6" s="39"/>
      <c r="Q6" s="39"/>
      <c r="R6" s="39"/>
      <c r="S6" s="39"/>
      <c r="T6" s="39"/>
      <c r="U6" s="39"/>
      <c r="V6" s="39"/>
      <c r="W6" s="39"/>
      <c r="X6" s="39"/>
      <c r="AC6" s="50"/>
      <c r="AD6" s="50"/>
      <c r="AE6" s="55"/>
      <c r="AF6" s="50"/>
      <c r="AI6" s="37"/>
      <c r="AJ6" s="37"/>
      <c r="AK6" s="37"/>
      <c r="AL6" s="37"/>
      <c r="AM6" s="37"/>
      <c r="AN6" s="37"/>
      <c r="AO6" s="37"/>
      <c r="AP6" s="37"/>
      <c r="AQ6" s="37"/>
      <c r="AS6" s="43"/>
    </row>
    <row r="7" spans="1:45" s="42" customFormat="1" ht="21" thickBot="1">
      <c r="A7" s="38"/>
      <c r="B7" s="281" t="s">
        <v>345</v>
      </c>
      <c r="C7" s="283" t="s">
        <v>183</v>
      </c>
      <c r="D7" s="284"/>
      <c r="E7" s="287" t="s">
        <v>173</v>
      </c>
      <c r="F7" s="288"/>
      <c r="G7" s="288"/>
      <c r="H7" s="291" t="s">
        <v>174</v>
      </c>
      <c r="I7" s="291" t="s">
        <v>175</v>
      </c>
      <c r="J7" s="293" t="s">
        <v>16</v>
      </c>
      <c r="K7" s="295" t="s">
        <v>24</v>
      </c>
      <c r="L7" s="293" t="s">
        <v>27</v>
      </c>
      <c r="M7" s="293" t="s">
        <v>181</v>
      </c>
      <c r="N7" s="271" t="s">
        <v>176</v>
      </c>
      <c r="O7" s="269"/>
      <c r="P7" s="269"/>
      <c r="Q7" s="271" t="s">
        <v>182</v>
      </c>
      <c r="R7" s="269"/>
      <c r="S7" s="269"/>
      <c r="T7" s="271" t="s">
        <v>180</v>
      </c>
      <c r="U7" s="269"/>
      <c r="V7" s="269"/>
      <c r="W7" s="272" t="s">
        <v>179</v>
      </c>
      <c r="X7" s="274" t="s">
        <v>1</v>
      </c>
      <c r="Y7" s="276" t="s">
        <v>2</v>
      </c>
      <c r="Z7" s="276" t="s">
        <v>3</v>
      </c>
      <c r="AA7" s="278" t="s">
        <v>4</v>
      </c>
      <c r="AC7" s="268" t="s">
        <v>19</v>
      </c>
      <c r="AD7" s="269"/>
      <c r="AE7" s="270"/>
      <c r="AF7" s="56"/>
      <c r="AJ7" s="138"/>
      <c r="AK7" s="138"/>
      <c r="AL7" s="138"/>
      <c r="AM7" s="138"/>
      <c r="AN7" s="138"/>
      <c r="AO7" s="138"/>
      <c r="AP7" s="37"/>
      <c r="AQ7" s="37"/>
      <c r="AS7" s="43"/>
    </row>
    <row r="8" spans="1:45" s="42" customFormat="1" ht="21" thickBot="1">
      <c r="A8" s="38"/>
      <c r="B8" s="282"/>
      <c r="C8" s="285"/>
      <c r="D8" s="286"/>
      <c r="E8" s="289"/>
      <c r="F8" s="290"/>
      <c r="G8" s="290"/>
      <c r="H8" s="292"/>
      <c r="I8" s="292"/>
      <c r="J8" s="294"/>
      <c r="K8" s="296"/>
      <c r="L8" s="294"/>
      <c r="M8" s="294"/>
      <c r="N8" s="57" t="s">
        <v>348</v>
      </c>
      <c r="O8" s="58" t="s">
        <v>17</v>
      </c>
      <c r="P8" s="58" t="s">
        <v>18</v>
      </c>
      <c r="Q8" s="57" t="s">
        <v>347</v>
      </c>
      <c r="R8" s="58" t="s">
        <v>17</v>
      </c>
      <c r="S8" s="58" t="s">
        <v>18</v>
      </c>
      <c r="T8" s="57" t="s">
        <v>348</v>
      </c>
      <c r="U8" s="58" t="s">
        <v>17</v>
      </c>
      <c r="V8" s="58" t="s">
        <v>18</v>
      </c>
      <c r="W8" s="273"/>
      <c r="X8" s="275"/>
      <c r="Y8" s="277"/>
      <c r="Z8" s="277"/>
      <c r="AA8" s="279"/>
      <c r="AC8" s="59" t="s">
        <v>72</v>
      </c>
      <c r="AD8" s="60" t="s">
        <v>20</v>
      </c>
      <c r="AE8" s="61" t="s">
        <v>73</v>
      </c>
      <c r="AF8" s="49"/>
      <c r="AJ8" s="37"/>
      <c r="AK8" s="37"/>
      <c r="AL8" s="37"/>
      <c r="AM8" s="37"/>
      <c r="AN8" s="37"/>
      <c r="AO8" s="37"/>
      <c r="AP8" s="37"/>
      <c r="AQ8" s="37"/>
      <c r="AS8" s="62" t="s">
        <v>29</v>
      </c>
    </row>
    <row r="9" spans="1:45" s="42" customFormat="1" ht="21" thickBot="1">
      <c r="A9" s="38"/>
      <c r="B9" s="63"/>
      <c r="C9" s="64"/>
      <c r="D9" s="65"/>
      <c r="E9" s="66"/>
      <c r="F9" s="67"/>
      <c r="G9" s="67"/>
      <c r="H9" s="68"/>
      <c r="I9" s="69"/>
      <c r="J9" s="69"/>
      <c r="K9" s="69"/>
      <c r="L9" s="69"/>
      <c r="M9" s="69"/>
      <c r="N9" s="70"/>
      <c r="O9" s="71"/>
      <c r="P9" s="71"/>
      <c r="Q9" s="63"/>
      <c r="R9" s="70"/>
      <c r="S9" s="70"/>
      <c r="T9" s="63"/>
      <c r="U9" s="70"/>
      <c r="V9" s="72"/>
      <c r="W9" s="73"/>
      <c r="X9" s="73"/>
      <c r="Y9" s="66"/>
      <c r="Z9" s="74"/>
      <c r="AA9" s="75"/>
      <c r="AC9" s="76"/>
      <c r="AD9" s="50"/>
      <c r="AE9" s="77"/>
      <c r="AF9" s="50"/>
      <c r="AG9" s="37"/>
      <c r="AH9" s="37"/>
      <c r="AI9" s="37"/>
      <c r="AJ9" s="37"/>
      <c r="AK9" s="37"/>
      <c r="AL9" s="37"/>
      <c r="AM9" s="37"/>
      <c r="AN9" s="37"/>
      <c r="AO9" s="37"/>
      <c r="AP9" s="37"/>
      <c r="AQ9" s="37"/>
      <c r="AS9" s="78"/>
    </row>
    <row r="10" spans="1:45" s="85" customFormat="1" ht="34">
      <c r="A10" s="79"/>
      <c r="B10" s="157" t="e">
        <f>IF(D10="","",#REF!)</f>
        <v>#REF!</v>
      </c>
      <c r="C10" s="158"/>
      <c r="D10" s="81" t="s">
        <v>346</v>
      </c>
      <c r="E10" s="112"/>
      <c r="F10" s="113"/>
      <c r="G10" s="150" t="s">
        <v>349</v>
      </c>
      <c r="H10" s="241" t="s">
        <v>378</v>
      </c>
      <c r="I10" s="224" t="s">
        <v>379</v>
      </c>
      <c r="J10" s="114" t="s">
        <v>355</v>
      </c>
      <c r="K10" s="163"/>
      <c r="L10" s="164"/>
      <c r="M10" s="154" t="s">
        <v>344</v>
      </c>
      <c r="N10" s="123" t="s">
        <v>352</v>
      </c>
      <c r="O10" s="82">
        <v>44326</v>
      </c>
      <c r="P10" s="82">
        <v>44326</v>
      </c>
      <c r="Q10" s="123"/>
      <c r="R10" s="82"/>
      <c r="S10" s="82"/>
      <c r="T10" s="169"/>
      <c r="U10" s="170"/>
      <c r="V10" s="170"/>
      <c r="W10" s="127"/>
      <c r="X10" s="80"/>
      <c r="Y10" s="114"/>
      <c r="Z10" s="83"/>
      <c r="AA10" s="84"/>
      <c r="AB10" s="104"/>
      <c r="AC10" s="130"/>
      <c r="AD10" s="131"/>
      <c r="AE10" s="132"/>
      <c r="AF10" s="133"/>
      <c r="AG10" s="133"/>
      <c r="AH10" s="133"/>
      <c r="AI10" s="133"/>
      <c r="AJ10" s="133"/>
      <c r="AK10" s="133"/>
      <c r="AL10" s="133"/>
      <c r="AM10" s="133"/>
      <c r="AN10" s="133"/>
      <c r="AO10" s="133"/>
      <c r="AP10" s="133"/>
      <c r="AQ10" s="133"/>
      <c r="AR10" s="104"/>
      <c r="AS10" s="87" t="e">
        <f>#REF!</f>
        <v>#REF!</v>
      </c>
    </row>
    <row r="11" spans="1:45" s="85" customFormat="1" ht="34">
      <c r="A11" s="79"/>
      <c r="B11" s="159" t="e">
        <f>IF(D11="","",#REF!)</f>
        <v>#REF!</v>
      </c>
      <c r="C11" s="160"/>
      <c r="D11" s="88" t="s">
        <v>172</v>
      </c>
      <c r="E11" s="115"/>
      <c r="F11" s="116"/>
      <c r="G11" s="151"/>
      <c r="H11" s="237"/>
      <c r="I11" s="224" t="s">
        <v>380</v>
      </c>
      <c r="J11" s="118" t="s">
        <v>234</v>
      </c>
      <c r="K11" s="165"/>
      <c r="L11" s="166"/>
      <c r="M11" s="155" t="s">
        <v>344</v>
      </c>
      <c r="N11" s="124" t="s">
        <v>352</v>
      </c>
      <c r="O11" s="90">
        <v>44326</v>
      </c>
      <c r="P11" s="90">
        <v>44326</v>
      </c>
      <c r="Q11" s="124" t="s">
        <v>352</v>
      </c>
      <c r="R11" s="90">
        <v>44342</v>
      </c>
      <c r="S11" s="90">
        <v>44342</v>
      </c>
      <c r="T11" s="171"/>
      <c r="U11" s="172"/>
      <c r="V11" s="172"/>
      <c r="W11" s="128"/>
      <c r="X11" s="89" t="s">
        <v>350</v>
      </c>
      <c r="Y11" s="118"/>
      <c r="Z11" s="91"/>
      <c r="AA11" s="92"/>
      <c r="AB11" s="104"/>
      <c r="AC11" s="130"/>
      <c r="AD11" s="131"/>
      <c r="AE11" s="132"/>
      <c r="AF11" s="133"/>
      <c r="AG11" s="133"/>
      <c r="AH11" s="133"/>
      <c r="AI11" s="133"/>
      <c r="AJ11" s="133"/>
      <c r="AK11" s="133"/>
      <c r="AL11" s="133"/>
      <c r="AM11" s="133"/>
      <c r="AN11" s="133"/>
      <c r="AO11" s="133"/>
      <c r="AP11" s="133"/>
      <c r="AQ11" s="133"/>
      <c r="AR11" s="104"/>
      <c r="AS11" s="93" t="e">
        <f>#REF!</f>
        <v>#REF!</v>
      </c>
    </row>
    <row r="12" spans="1:45" s="85" customFormat="1">
      <c r="A12" s="79"/>
      <c r="B12" s="159" t="e">
        <f>IF(D12="","",#REF!)</f>
        <v>#REF!</v>
      </c>
      <c r="C12" s="160"/>
      <c r="D12" s="88" t="s">
        <v>184</v>
      </c>
      <c r="E12" s="115"/>
      <c r="F12" s="116"/>
      <c r="G12" s="151"/>
      <c r="H12" s="237"/>
      <c r="I12" s="224" t="s">
        <v>381</v>
      </c>
      <c r="J12" s="118" t="s">
        <v>235</v>
      </c>
      <c r="K12" s="165"/>
      <c r="L12" s="166"/>
      <c r="M12" s="155" t="s">
        <v>344</v>
      </c>
      <c r="N12" s="124" t="s">
        <v>352</v>
      </c>
      <c r="O12" s="90">
        <v>44326</v>
      </c>
      <c r="P12" s="90">
        <v>44326</v>
      </c>
      <c r="Q12" s="124"/>
      <c r="R12" s="90"/>
      <c r="S12" s="90"/>
      <c r="T12" s="171"/>
      <c r="U12" s="172"/>
      <c r="V12" s="172"/>
      <c r="W12" s="128"/>
      <c r="X12" s="89"/>
      <c r="Y12" s="118"/>
      <c r="Z12" s="91"/>
      <c r="AA12" s="92"/>
      <c r="AB12" s="104"/>
      <c r="AC12" s="130"/>
      <c r="AD12" s="131"/>
      <c r="AE12" s="132"/>
      <c r="AF12" s="133"/>
      <c r="AG12" s="133"/>
      <c r="AH12" s="133"/>
      <c r="AI12" s="133"/>
      <c r="AJ12" s="133"/>
      <c r="AK12" s="133"/>
      <c r="AL12" s="133"/>
      <c r="AM12" s="133"/>
      <c r="AN12" s="133"/>
      <c r="AO12" s="133"/>
      <c r="AP12" s="133"/>
      <c r="AQ12" s="133"/>
      <c r="AR12" s="104"/>
      <c r="AS12" s="93" t="e">
        <f>#REF!</f>
        <v>#REF!</v>
      </c>
    </row>
    <row r="13" spans="1:45" s="85" customFormat="1" ht="34">
      <c r="A13" s="79"/>
      <c r="B13" s="159" t="e">
        <f>IF(D13="","",#REF!)</f>
        <v>#REF!</v>
      </c>
      <c r="C13" s="160"/>
      <c r="D13" s="88" t="s">
        <v>185</v>
      </c>
      <c r="E13" s="115"/>
      <c r="F13" s="116"/>
      <c r="G13" s="151"/>
      <c r="H13" s="237"/>
      <c r="I13" s="224" t="s">
        <v>382</v>
      </c>
      <c r="J13" s="118" t="s">
        <v>236</v>
      </c>
      <c r="K13" s="165"/>
      <c r="L13" s="166"/>
      <c r="M13" s="155" t="s">
        <v>344</v>
      </c>
      <c r="N13" s="124" t="s">
        <v>352</v>
      </c>
      <c r="O13" s="90">
        <v>44326</v>
      </c>
      <c r="P13" s="90">
        <v>44326</v>
      </c>
      <c r="Q13" s="124"/>
      <c r="R13" s="90"/>
      <c r="S13" s="90"/>
      <c r="T13" s="171"/>
      <c r="U13" s="172"/>
      <c r="V13" s="172"/>
      <c r="W13" s="128"/>
      <c r="X13" s="89"/>
      <c r="Y13" s="118"/>
      <c r="Z13" s="91"/>
      <c r="AA13" s="92"/>
      <c r="AB13" s="104"/>
      <c r="AC13" s="130"/>
      <c r="AD13" s="131"/>
      <c r="AE13" s="132"/>
      <c r="AF13" s="133"/>
      <c r="AG13" s="133"/>
      <c r="AH13" s="133"/>
      <c r="AI13" s="133"/>
      <c r="AJ13" s="133"/>
      <c r="AK13" s="133"/>
      <c r="AL13" s="133"/>
      <c r="AM13" s="133"/>
      <c r="AN13" s="133"/>
      <c r="AO13" s="133"/>
      <c r="AP13" s="133"/>
      <c r="AQ13" s="133"/>
      <c r="AR13" s="104"/>
      <c r="AS13" s="93" t="e">
        <f>#REF!</f>
        <v>#REF!</v>
      </c>
    </row>
    <row r="14" spans="1:45" s="85" customFormat="1">
      <c r="A14" s="79"/>
      <c r="B14" s="159" t="e">
        <f>IF(D14="","",#REF!)</f>
        <v>#REF!</v>
      </c>
      <c r="C14" s="160"/>
      <c r="D14" s="88" t="s">
        <v>289</v>
      </c>
      <c r="E14" s="115"/>
      <c r="F14" s="116"/>
      <c r="G14" s="151"/>
      <c r="H14" s="237"/>
      <c r="I14" s="224" t="s">
        <v>383</v>
      </c>
      <c r="J14" s="118" t="s">
        <v>237</v>
      </c>
      <c r="K14" s="165"/>
      <c r="L14" s="166"/>
      <c r="M14" s="155" t="s">
        <v>344</v>
      </c>
      <c r="N14" s="124" t="s">
        <v>352</v>
      </c>
      <c r="O14" s="90">
        <v>44326</v>
      </c>
      <c r="P14" s="90">
        <v>44326</v>
      </c>
      <c r="Q14" s="124"/>
      <c r="R14" s="90"/>
      <c r="S14" s="90"/>
      <c r="T14" s="171"/>
      <c r="U14" s="172"/>
      <c r="V14" s="172"/>
      <c r="W14" s="128"/>
      <c r="X14" s="89"/>
      <c r="Y14" s="118"/>
      <c r="Z14" s="91"/>
      <c r="AA14" s="92"/>
      <c r="AB14" s="104"/>
      <c r="AC14" s="130"/>
      <c r="AD14" s="131"/>
      <c r="AE14" s="132"/>
      <c r="AF14" s="133"/>
      <c r="AG14" s="133"/>
      <c r="AH14" s="133"/>
      <c r="AI14" s="133"/>
      <c r="AJ14" s="133"/>
      <c r="AK14" s="133"/>
      <c r="AL14" s="133"/>
      <c r="AM14" s="133"/>
      <c r="AN14" s="133"/>
      <c r="AO14" s="133"/>
      <c r="AP14" s="133"/>
      <c r="AQ14" s="133"/>
      <c r="AR14" s="104"/>
      <c r="AS14" s="93" t="e">
        <f>#REF!</f>
        <v>#REF!</v>
      </c>
    </row>
    <row r="15" spans="1:45" s="85" customFormat="1">
      <c r="A15" s="79"/>
      <c r="B15" s="159" t="e">
        <f>IF(D15="","",#REF!)</f>
        <v>#REF!</v>
      </c>
      <c r="C15" s="160"/>
      <c r="D15" s="88" t="s">
        <v>290</v>
      </c>
      <c r="E15" s="115"/>
      <c r="F15" s="149"/>
      <c r="G15" s="143"/>
      <c r="H15" s="237"/>
      <c r="I15" s="224" t="s">
        <v>384</v>
      </c>
      <c r="J15" s="118" t="s">
        <v>238</v>
      </c>
      <c r="K15" s="165"/>
      <c r="L15" s="166"/>
      <c r="M15" s="155" t="s">
        <v>344</v>
      </c>
      <c r="N15" s="124" t="s">
        <v>352</v>
      </c>
      <c r="O15" s="90">
        <v>44326</v>
      </c>
      <c r="P15" s="90">
        <v>44326</v>
      </c>
      <c r="Q15" s="124"/>
      <c r="R15" s="90"/>
      <c r="S15" s="90"/>
      <c r="T15" s="171"/>
      <c r="U15" s="172"/>
      <c r="V15" s="172"/>
      <c r="W15" s="128"/>
      <c r="X15" s="89"/>
      <c r="Y15" s="118"/>
      <c r="Z15" s="91"/>
      <c r="AA15" s="92"/>
      <c r="AB15" s="104"/>
      <c r="AC15" s="130"/>
      <c r="AD15" s="131"/>
      <c r="AE15" s="132"/>
      <c r="AF15" s="133"/>
      <c r="AG15" s="133"/>
      <c r="AH15" s="133"/>
      <c r="AI15" s="133"/>
      <c r="AJ15" s="133"/>
      <c r="AK15" s="133"/>
      <c r="AL15" s="133"/>
      <c r="AM15" s="133"/>
      <c r="AN15" s="133"/>
      <c r="AO15" s="133"/>
      <c r="AP15" s="133"/>
      <c r="AQ15" s="133"/>
      <c r="AR15" s="104"/>
      <c r="AS15" s="93" t="e">
        <f>#REF!</f>
        <v>#REF!</v>
      </c>
    </row>
    <row r="16" spans="1:45" s="85" customFormat="1">
      <c r="A16" s="79"/>
      <c r="B16" s="159" t="e">
        <f>IF(D16="","",#REF!)</f>
        <v>#REF!</v>
      </c>
      <c r="C16" s="160"/>
      <c r="D16" s="88" t="s">
        <v>291</v>
      </c>
      <c r="E16" s="115"/>
      <c r="F16" s="116"/>
      <c r="G16" s="151"/>
      <c r="H16" s="237"/>
      <c r="I16" s="224" t="s">
        <v>385</v>
      </c>
      <c r="J16" s="118" t="s">
        <v>239</v>
      </c>
      <c r="K16" s="165"/>
      <c r="L16" s="166"/>
      <c r="M16" s="155" t="s">
        <v>344</v>
      </c>
      <c r="N16" s="124" t="s">
        <v>352</v>
      </c>
      <c r="O16" s="90">
        <v>44326</v>
      </c>
      <c r="P16" s="90">
        <v>44326</v>
      </c>
      <c r="Q16" s="124"/>
      <c r="R16" s="90"/>
      <c r="S16" s="90"/>
      <c r="T16" s="171"/>
      <c r="U16" s="172"/>
      <c r="V16" s="172"/>
      <c r="W16" s="128"/>
      <c r="X16" s="89"/>
      <c r="Y16" s="118"/>
      <c r="Z16" s="91"/>
      <c r="AA16" s="92"/>
      <c r="AB16" s="104"/>
      <c r="AC16" s="130"/>
      <c r="AD16" s="131"/>
      <c r="AE16" s="132"/>
      <c r="AF16" s="133"/>
      <c r="AG16" s="133"/>
      <c r="AH16" s="133"/>
      <c r="AI16" s="133"/>
      <c r="AJ16" s="133"/>
      <c r="AK16" s="133"/>
      <c r="AL16" s="133"/>
      <c r="AM16" s="133"/>
      <c r="AN16" s="133"/>
      <c r="AO16" s="133"/>
      <c r="AP16" s="133"/>
      <c r="AQ16" s="133"/>
      <c r="AR16" s="104"/>
      <c r="AS16" s="93" t="e">
        <f>#REF!</f>
        <v>#REF!</v>
      </c>
    </row>
    <row r="17" spans="1:45" s="85" customFormat="1" ht="34">
      <c r="A17" s="79"/>
      <c r="B17" s="159" t="e">
        <f>IF(D17="","",#REF!)</f>
        <v>#REF!</v>
      </c>
      <c r="C17" s="160"/>
      <c r="D17" s="88" t="s">
        <v>292</v>
      </c>
      <c r="E17" s="115"/>
      <c r="F17" s="116"/>
      <c r="G17" s="151"/>
      <c r="H17" s="237"/>
      <c r="I17" s="224" t="s">
        <v>386</v>
      </c>
      <c r="J17" s="118" t="s">
        <v>240</v>
      </c>
      <c r="K17" s="165"/>
      <c r="L17" s="166"/>
      <c r="M17" s="155" t="s">
        <v>344</v>
      </c>
      <c r="N17" s="124" t="s">
        <v>352</v>
      </c>
      <c r="O17" s="90">
        <v>44326</v>
      </c>
      <c r="P17" s="90">
        <v>44326</v>
      </c>
      <c r="Q17" s="124" t="s">
        <v>352</v>
      </c>
      <c r="R17" s="90">
        <v>44342</v>
      </c>
      <c r="S17" s="90">
        <v>44342</v>
      </c>
      <c r="T17" s="171"/>
      <c r="U17" s="172"/>
      <c r="V17" s="172"/>
      <c r="W17" s="128"/>
      <c r="X17" s="89" t="s">
        <v>351</v>
      </c>
      <c r="Y17" s="118"/>
      <c r="Z17" s="91"/>
      <c r="AA17" s="92"/>
      <c r="AB17" s="104"/>
      <c r="AC17" s="130"/>
      <c r="AD17" s="131"/>
      <c r="AE17" s="132"/>
      <c r="AF17" s="133"/>
      <c r="AG17" s="133"/>
      <c r="AH17" s="133"/>
      <c r="AI17" s="133"/>
      <c r="AJ17" s="133"/>
      <c r="AK17" s="133"/>
      <c r="AL17" s="133"/>
      <c r="AM17" s="133"/>
      <c r="AN17" s="133"/>
      <c r="AO17" s="133"/>
      <c r="AP17" s="133"/>
      <c r="AQ17" s="133"/>
      <c r="AR17" s="104"/>
      <c r="AS17" s="93" t="e">
        <f>#REF!</f>
        <v>#REF!</v>
      </c>
    </row>
    <row r="18" spans="1:45" s="85" customFormat="1" ht="34">
      <c r="A18" s="79"/>
      <c r="B18" s="159" t="e">
        <f>IF(D18="","",#REF!)</f>
        <v>#REF!</v>
      </c>
      <c r="C18" s="160"/>
      <c r="D18" s="88" t="s">
        <v>356</v>
      </c>
      <c r="E18" s="115"/>
      <c r="F18" s="149"/>
      <c r="G18" s="143"/>
      <c r="H18" s="237"/>
      <c r="I18" s="224" t="s">
        <v>387</v>
      </c>
      <c r="J18" s="118" t="s">
        <v>241</v>
      </c>
      <c r="K18" s="165"/>
      <c r="L18" s="166"/>
      <c r="M18" s="155" t="s">
        <v>354</v>
      </c>
      <c r="N18" s="124" t="s">
        <v>352</v>
      </c>
      <c r="O18" s="90">
        <v>44326</v>
      </c>
      <c r="P18" s="90">
        <v>44326</v>
      </c>
      <c r="Q18" s="124"/>
      <c r="R18" s="90"/>
      <c r="S18" s="90"/>
      <c r="T18" s="171"/>
      <c r="U18" s="172"/>
      <c r="V18" s="172"/>
      <c r="W18" s="128"/>
      <c r="X18" s="89"/>
      <c r="Y18" s="118"/>
      <c r="Z18" s="91"/>
      <c r="AA18" s="92" t="s">
        <v>357</v>
      </c>
      <c r="AB18" s="104"/>
      <c r="AC18" s="130"/>
      <c r="AD18" s="131"/>
      <c r="AE18" s="132"/>
      <c r="AF18" s="133"/>
      <c r="AG18" s="133"/>
      <c r="AH18" s="133"/>
      <c r="AI18" s="133"/>
      <c r="AJ18" s="133"/>
      <c r="AK18" s="133"/>
      <c r="AL18" s="133"/>
      <c r="AM18" s="133"/>
      <c r="AN18" s="133"/>
      <c r="AO18" s="133"/>
      <c r="AP18" s="133"/>
      <c r="AQ18" s="133"/>
      <c r="AR18" s="104"/>
      <c r="AS18" s="93" t="e">
        <f>#REF!</f>
        <v>#REF!</v>
      </c>
    </row>
    <row r="19" spans="1:45" s="85" customFormat="1">
      <c r="A19" s="79"/>
      <c r="B19" s="159" t="e">
        <f>IF(D19="","",#REF!)</f>
        <v>#REF!</v>
      </c>
      <c r="C19" s="160"/>
      <c r="D19" s="88" t="s">
        <v>293</v>
      </c>
      <c r="E19" s="115"/>
      <c r="F19" s="116"/>
      <c r="G19" s="151"/>
      <c r="H19" s="237"/>
      <c r="I19" s="224" t="s">
        <v>388</v>
      </c>
      <c r="J19" s="118" t="s">
        <v>242</v>
      </c>
      <c r="K19" s="165"/>
      <c r="L19" s="166"/>
      <c r="M19" s="155" t="s">
        <v>344</v>
      </c>
      <c r="N19" s="124" t="s">
        <v>352</v>
      </c>
      <c r="O19" s="90">
        <v>44326</v>
      </c>
      <c r="P19" s="90">
        <v>44326</v>
      </c>
      <c r="Q19" s="124"/>
      <c r="R19" s="90"/>
      <c r="S19" s="90"/>
      <c r="T19" s="171"/>
      <c r="U19" s="172"/>
      <c r="V19" s="172"/>
      <c r="W19" s="128"/>
      <c r="X19" s="89"/>
      <c r="Y19" s="118"/>
      <c r="Z19" s="91"/>
      <c r="AA19" s="92"/>
      <c r="AB19" s="104"/>
      <c r="AC19" s="130"/>
      <c r="AD19" s="131"/>
      <c r="AE19" s="132"/>
      <c r="AF19" s="133"/>
      <c r="AG19" s="133"/>
      <c r="AH19" s="133"/>
      <c r="AI19" s="133"/>
      <c r="AJ19" s="133"/>
      <c r="AK19" s="133"/>
      <c r="AL19" s="133"/>
      <c r="AM19" s="133"/>
      <c r="AN19" s="133"/>
      <c r="AO19" s="133"/>
      <c r="AP19" s="133"/>
      <c r="AQ19" s="133"/>
      <c r="AR19" s="104"/>
      <c r="AS19" s="93" t="e">
        <f>#REF!</f>
        <v>#REF!</v>
      </c>
    </row>
    <row r="20" spans="1:45" s="85" customFormat="1">
      <c r="A20" s="79"/>
      <c r="B20" s="159" t="e">
        <f>IF(D20="","",#REF!)</f>
        <v>#REF!</v>
      </c>
      <c r="C20" s="160"/>
      <c r="D20" s="88" t="s">
        <v>294</v>
      </c>
      <c r="E20" s="115"/>
      <c r="F20" s="116"/>
      <c r="G20" s="151"/>
      <c r="H20" s="137"/>
      <c r="I20" s="118" t="s">
        <v>187</v>
      </c>
      <c r="J20" s="118" t="s">
        <v>243</v>
      </c>
      <c r="K20" s="165"/>
      <c r="L20" s="166"/>
      <c r="M20" s="155" t="s">
        <v>344</v>
      </c>
      <c r="N20" s="124" t="s">
        <v>352</v>
      </c>
      <c r="O20" s="90">
        <v>44326</v>
      </c>
      <c r="P20" s="90">
        <v>44326</v>
      </c>
      <c r="Q20" s="124"/>
      <c r="R20" s="90"/>
      <c r="S20" s="90"/>
      <c r="T20" s="171"/>
      <c r="U20" s="172"/>
      <c r="V20" s="172"/>
      <c r="W20" s="128"/>
      <c r="X20" s="89"/>
      <c r="Y20" s="118"/>
      <c r="Z20" s="91"/>
      <c r="AA20" s="92"/>
      <c r="AB20" s="104"/>
      <c r="AC20" s="130"/>
      <c r="AD20" s="131"/>
      <c r="AE20" s="132"/>
      <c r="AF20" s="133"/>
      <c r="AG20" s="133"/>
      <c r="AH20" s="133"/>
      <c r="AI20" s="133"/>
      <c r="AJ20" s="133"/>
      <c r="AK20" s="133"/>
      <c r="AL20" s="133"/>
      <c r="AM20" s="133"/>
      <c r="AN20" s="133"/>
      <c r="AO20" s="133"/>
      <c r="AP20" s="133"/>
      <c r="AQ20" s="133"/>
      <c r="AR20" s="104"/>
      <c r="AS20" s="93" t="e">
        <f>#REF!</f>
        <v>#REF!</v>
      </c>
    </row>
    <row r="21" spans="1:45" s="85" customFormat="1">
      <c r="A21" s="79"/>
      <c r="B21" s="159" t="e">
        <f>IF(D21="","",#REF!)</f>
        <v>#REF!</v>
      </c>
      <c r="C21" s="160"/>
      <c r="D21" s="88" t="s">
        <v>295</v>
      </c>
      <c r="E21" s="115"/>
      <c r="F21" s="116"/>
      <c r="G21" s="151"/>
      <c r="H21" s="137"/>
      <c r="I21" s="118" t="s">
        <v>188</v>
      </c>
      <c r="J21" s="118" t="s">
        <v>240</v>
      </c>
      <c r="K21" s="165"/>
      <c r="L21" s="166"/>
      <c r="M21" s="155" t="s">
        <v>344</v>
      </c>
      <c r="N21" s="124" t="s">
        <v>352</v>
      </c>
      <c r="O21" s="90">
        <v>44326</v>
      </c>
      <c r="P21" s="90">
        <v>44326</v>
      </c>
      <c r="Q21" s="124"/>
      <c r="R21" s="90"/>
      <c r="S21" s="90"/>
      <c r="T21" s="171"/>
      <c r="U21" s="172"/>
      <c r="V21" s="172"/>
      <c r="W21" s="128"/>
      <c r="X21" s="89"/>
      <c r="Y21" s="118"/>
      <c r="Z21" s="91"/>
      <c r="AA21" s="92"/>
      <c r="AB21" s="104"/>
      <c r="AC21" s="130"/>
      <c r="AD21" s="131"/>
      <c r="AE21" s="132"/>
      <c r="AF21" s="133"/>
      <c r="AG21" s="133"/>
      <c r="AH21" s="133"/>
      <c r="AI21" s="133"/>
      <c r="AJ21" s="133"/>
      <c r="AK21" s="133"/>
      <c r="AL21" s="133"/>
      <c r="AM21" s="133"/>
      <c r="AN21" s="133"/>
      <c r="AO21" s="133"/>
      <c r="AP21" s="133"/>
      <c r="AQ21" s="133"/>
      <c r="AR21" s="104"/>
      <c r="AS21" s="93" t="e">
        <f>#REF!</f>
        <v>#REF!</v>
      </c>
    </row>
    <row r="22" spans="1:45" s="85" customFormat="1" ht="34">
      <c r="A22" s="79"/>
      <c r="B22" s="159" t="e">
        <f>IF(D22="","",#REF!)</f>
        <v>#REF!</v>
      </c>
      <c r="C22" s="160"/>
      <c r="D22" s="88" t="s">
        <v>296</v>
      </c>
      <c r="E22" s="115"/>
      <c r="F22" s="149"/>
      <c r="G22" s="143"/>
      <c r="H22" s="137" t="s">
        <v>186</v>
      </c>
      <c r="I22" s="118" t="s">
        <v>189</v>
      </c>
      <c r="J22" s="118" t="s">
        <v>244</v>
      </c>
      <c r="K22" s="165"/>
      <c r="L22" s="166"/>
      <c r="M22" s="155" t="s">
        <v>344</v>
      </c>
      <c r="N22" s="124" t="s">
        <v>352</v>
      </c>
      <c r="O22" s="90">
        <v>44326</v>
      </c>
      <c r="P22" s="90">
        <v>44326</v>
      </c>
      <c r="Q22" s="124"/>
      <c r="R22" s="90"/>
      <c r="S22" s="90"/>
      <c r="T22" s="171"/>
      <c r="U22" s="172"/>
      <c r="V22" s="172"/>
      <c r="W22" s="128"/>
      <c r="X22" s="89"/>
      <c r="Y22" s="118"/>
      <c r="Z22" s="91"/>
      <c r="AA22" s="92"/>
      <c r="AB22" s="104"/>
      <c r="AC22" s="130"/>
      <c r="AD22" s="131"/>
      <c r="AE22" s="132"/>
      <c r="AF22" s="133"/>
      <c r="AG22" s="133"/>
      <c r="AH22" s="133"/>
      <c r="AI22" s="133"/>
      <c r="AJ22" s="133"/>
      <c r="AK22" s="133"/>
      <c r="AL22" s="133"/>
      <c r="AM22" s="133"/>
      <c r="AN22" s="133"/>
      <c r="AO22" s="133"/>
      <c r="AP22" s="133"/>
      <c r="AQ22" s="133"/>
      <c r="AR22" s="104"/>
      <c r="AS22" s="93" t="e">
        <f>#REF!</f>
        <v>#REF!</v>
      </c>
    </row>
    <row r="23" spans="1:45" s="85" customFormat="1">
      <c r="A23" s="79"/>
      <c r="B23" s="159" t="e">
        <f>IF(D23="","",#REF!)</f>
        <v>#REF!</v>
      </c>
      <c r="C23" s="160"/>
      <c r="D23" s="88" t="s">
        <v>297</v>
      </c>
      <c r="E23" s="115"/>
      <c r="F23" s="116"/>
      <c r="G23" s="151"/>
      <c r="H23" s="137"/>
      <c r="I23" s="118" t="s">
        <v>190</v>
      </c>
      <c r="J23" s="118" t="s">
        <v>245</v>
      </c>
      <c r="K23" s="165"/>
      <c r="L23" s="166"/>
      <c r="M23" s="155" t="s">
        <v>344</v>
      </c>
      <c r="N23" s="124" t="s">
        <v>352</v>
      </c>
      <c r="O23" s="90">
        <v>44326</v>
      </c>
      <c r="P23" s="90">
        <v>44326</v>
      </c>
      <c r="Q23" s="124"/>
      <c r="R23" s="90"/>
      <c r="S23" s="90"/>
      <c r="T23" s="171"/>
      <c r="U23" s="172"/>
      <c r="V23" s="172"/>
      <c r="W23" s="128"/>
      <c r="X23" s="89"/>
      <c r="Y23" s="118"/>
      <c r="Z23" s="91"/>
      <c r="AA23" s="92"/>
      <c r="AB23" s="104"/>
      <c r="AC23" s="130"/>
      <c r="AD23" s="131"/>
      <c r="AE23" s="132"/>
      <c r="AF23" s="133"/>
      <c r="AG23" s="133"/>
      <c r="AH23" s="133"/>
      <c r="AI23" s="133"/>
      <c r="AJ23" s="133"/>
      <c r="AK23" s="133"/>
      <c r="AL23" s="133"/>
      <c r="AM23" s="133"/>
      <c r="AN23" s="133"/>
      <c r="AO23" s="133"/>
      <c r="AP23" s="133"/>
      <c r="AQ23" s="133"/>
      <c r="AR23" s="104"/>
      <c r="AS23" s="93" t="e">
        <f>#REF!</f>
        <v>#REF!</v>
      </c>
    </row>
    <row r="24" spans="1:45" s="85" customFormat="1">
      <c r="A24" s="79"/>
      <c r="B24" s="159" t="e">
        <f>IF(D24="","",#REF!)</f>
        <v>#REF!</v>
      </c>
      <c r="C24" s="160"/>
      <c r="D24" s="88" t="s">
        <v>298</v>
      </c>
      <c r="E24" s="115"/>
      <c r="F24" s="116"/>
      <c r="G24" s="117"/>
      <c r="H24" s="137"/>
      <c r="I24" s="118" t="s">
        <v>191</v>
      </c>
      <c r="J24" s="118" t="s">
        <v>246</v>
      </c>
      <c r="K24" s="165"/>
      <c r="L24" s="166"/>
      <c r="M24" s="155" t="s">
        <v>344</v>
      </c>
      <c r="N24" s="124" t="s">
        <v>352</v>
      </c>
      <c r="O24" s="90">
        <v>44326</v>
      </c>
      <c r="P24" s="90">
        <v>44326</v>
      </c>
      <c r="Q24" s="124"/>
      <c r="R24" s="90"/>
      <c r="S24" s="90"/>
      <c r="T24" s="171"/>
      <c r="U24" s="172"/>
      <c r="V24" s="172"/>
      <c r="W24" s="128"/>
      <c r="X24" s="89"/>
      <c r="Y24" s="118"/>
      <c r="Z24" s="91"/>
      <c r="AA24" s="92"/>
      <c r="AB24" s="104"/>
      <c r="AC24" s="130"/>
      <c r="AD24" s="131"/>
      <c r="AE24" s="132"/>
      <c r="AF24" s="133"/>
      <c r="AG24" s="133"/>
      <c r="AH24" s="133"/>
      <c r="AI24" s="133"/>
      <c r="AJ24" s="133"/>
      <c r="AK24" s="133"/>
      <c r="AL24" s="133"/>
      <c r="AM24" s="133"/>
      <c r="AN24" s="133"/>
      <c r="AO24" s="133"/>
      <c r="AP24" s="133"/>
      <c r="AQ24" s="133"/>
      <c r="AR24" s="104"/>
      <c r="AS24" s="93" t="e">
        <f>#REF!</f>
        <v>#REF!</v>
      </c>
    </row>
    <row r="25" spans="1:45" s="85" customFormat="1">
      <c r="A25" s="79"/>
      <c r="B25" s="159" t="e">
        <f>IF(D25="","",#REF!)</f>
        <v>#REF!</v>
      </c>
      <c r="C25" s="160"/>
      <c r="D25" s="88" t="s">
        <v>299</v>
      </c>
      <c r="E25" s="115"/>
      <c r="F25" s="116"/>
      <c r="G25" s="117"/>
      <c r="H25" s="137"/>
      <c r="I25" s="118" t="s">
        <v>192</v>
      </c>
      <c r="J25" s="118" t="s">
        <v>247</v>
      </c>
      <c r="K25" s="165"/>
      <c r="L25" s="166"/>
      <c r="M25" s="155" t="s">
        <v>344</v>
      </c>
      <c r="N25" s="124" t="s">
        <v>352</v>
      </c>
      <c r="O25" s="90">
        <v>44326</v>
      </c>
      <c r="P25" s="90">
        <v>44326</v>
      </c>
      <c r="Q25" s="124"/>
      <c r="R25" s="90"/>
      <c r="S25" s="90"/>
      <c r="T25" s="171"/>
      <c r="U25" s="172"/>
      <c r="V25" s="172"/>
      <c r="W25" s="128"/>
      <c r="X25" s="89"/>
      <c r="Y25" s="118"/>
      <c r="Z25" s="91"/>
      <c r="AA25" s="92"/>
      <c r="AB25" s="104"/>
      <c r="AC25" s="130"/>
      <c r="AD25" s="131"/>
      <c r="AE25" s="132"/>
      <c r="AF25" s="133"/>
      <c r="AG25" s="133"/>
      <c r="AH25" s="133"/>
      <c r="AI25" s="133"/>
      <c r="AJ25" s="133"/>
      <c r="AK25" s="133"/>
      <c r="AL25" s="133"/>
      <c r="AM25" s="133"/>
      <c r="AN25" s="133"/>
      <c r="AO25" s="133"/>
      <c r="AP25" s="133"/>
      <c r="AQ25" s="133"/>
      <c r="AR25" s="104"/>
      <c r="AS25" s="93" t="e">
        <f>#REF!</f>
        <v>#REF!</v>
      </c>
    </row>
    <row r="26" spans="1:45" s="85" customFormat="1" ht="34">
      <c r="A26" s="79"/>
      <c r="B26" s="159" t="e">
        <f>IF(D26="","",#REF!)</f>
        <v>#REF!</v>
      </c>
      <c r="C26" s="160"/>
      <c r="D26" s="88" t="s">
        <v>300</v>
      </c>
      <c r="E26" s="115"/>
      <c r="F26" s="116"/>
      <c r="G26" s="117"/>
      <c r="H26" s="137"/>
      <c r="I26" s="118" t="s">
        <v>193</v>
      </c>
      <c r="J26" s="118" t="s">
        <v>248</v>
      </c>
      <c r="K26" s="165"/>
      <c r="L26" s="166"/>
      <c r="M26" s="155" t="s">
        <v>344</v>
      </c>
      <c r="N26" s="124" t="s">
        <v>352</v>
      </c>
      <c r="O26" s="90">
        <v>44326</v>
      </c>
      <c r="P26" s="90">
        <v>44326</v>
      </c>
      <c r="Q26" s="124"/>
      <c r="R26" s="90"/>
      <c r="S26" s="90"/>
      <c r="T26" s="171"/>
      <c r="U26" s="172"/>
      <c r="V26" s="172"/>
      <c r="W26" s="128"/>
      <c r="X26" s="89"/>
      <c r="Y26" s="118"/>
      <c r="Z26" s="91"/>
      <c r="AA26" s="92"/>
      <c r="AB26" s="104"/>
      <c r="AC26" s="130"/>
      <c r="AD26" s="131"/>
      <c r="AE26" s="132"/>
      <c r="AF26" s="133"/>
      <c r="AG26" s="133"/>
      <c r="AH26" s="133"/>
      <c r="AI26" s="133"/>
      <c r="AJ26" s="133"/>
      <c r="AK26" s="133"/>
      <c r="AL26" s="133"/>
      <c r="AM26" s="133"/>
      <c r="AN26" s="133"/>
      <c r="AO26" s="133"/>
      <c r="AP26" s="133"/>
      <c r="AQ26" s="133"/>
      <c r="AR26" s="104"/>
      <c r="AS26" s="93" t="e">
        <f>#REF!</f>
        <v>#REF!</v>
      </c>
    </row>
    <row r="27" spans="1:45" s="85" customFormat="1" ht="34">
      <c r="A27" s="79"/>
      <c r="B27" s="159" t="e">
        <f>IF(D27="","",#REF!)</f>
        <v>#REF!</v>
      </c>
      <c r="C27" s="160"/>
      <c r="D27" s="88" t="s">
        <v>301</v>
      </c>
      <c r="E27" s="115"/>
      <c r="F27" s="116"/>
      <c r="G27" s="117"/>
      <c r="H27" s="137"/>
      <c r="I27" s="118" t="s">
        <v>194</v>
      </c>
      <c r="J27" s="118" t="s">
        <v>249</v>
      </c>
      <c r="K27" s="165"/>
      <c r="L27" s="166"/>
      <c r="M27" s="155" t="s">
        <v>344</v>
      </c>
      <c r="N27" s="124" t="s">
        <v>352</v>
      </c>
      <c r="O27" s="90">
        <v>44326</v>
      </c>
      <c r="P27" s="90">
        <v>44326</v>
      </c>
      <c r="Q27" s="124"/>
      <c r="R27" s="90"/>
      <c r="S27" s="90"/>
      <c r="T27" s="171"/>
      <c r="U27" s="172"/>
      <c r="V27" s="172"/>
      <c r="W27" s="128"/>
      <c r="X27" s="89"/>
      <c r="Y27" s="118"/>
      <c r="Z27" s="91"/>
      <c r="AA27" s="92"/>
      <c r="AB27" s="104"/>
      <c r="AC27" s="130"/>
      <c r="AD27" s="131"/>
      <c r="AE27" s="132"/>
      <c r="AF27" s="133"/>
      <c r="AG27" s="133"/>
      <c r="AH27" s="133"/>
      <c r="AI27" s="133"/>
      <c r="AJ27" s="133"/>
      <c r="AK27" s="133"/>
      <c r="AL27" s="133"/>
      <c r="AM27" s="133"/>
      <c r="AN27" s="133"/>
      <c r="AO27" s="133"/>
      <c r="AP27" s="133"/>
      <c r="AQ27" s="133"/>
      <c r="AR27" s="104"/>
      <c r="AS27" s="93" t="e">
        <f>#REF!</f>
        <v>#REF!</v>
      </c>
    </row>
    <row r="28" spans="1:45" s="85" customFormat="1">
      <c r="A28" s="79"/>
      <c r="B28" s="159" t="e">
        <f>IF(D28="","",#REF!)</f>
        <v>#REF!</v>
      </c>
      <c r="C28" s="160"/>
      <c r="D28" s="88" t="s">
        <v>302</v>
      </c>
      <c r="E28" s="115"/>
      <c r="F28" s="116"/>
      <c r="G28" s="117"/>
      <c r="H28" s="137"/>
      <c r="I28" s="118" t="s">
        <v>195</v>
      </c>
      <c r="J28" s="118" t="s">
        <v>250</v>
      </c>
      <c r="K28" s="165"/>
      <c r="L28" s="166"/>
      <c r="M28" s="155" t="s">
        <v>344</v>
      </c>
      <c r="N28" s="124" t="s">
        <v>352</v>
      </c>
      <c r="O28" s="90">
        <v>44326</v>
      </c>
      <c r="P28" s="90">
        <v>44326</v>
      </c>
      <c r="Q28" s="124"/>
      <c r="R28" s="90"/>
      <c r="S28" s="90"/>
      <c r="T28" s="171"/>
      <c r="U28" s="172"/>
      <c r="V28" s="172"/>
      <c r="W28" s="128"/>
      <c r="X28" s="89"/>
      <c r="Y28" s="118"/>
      <c r="Z28" s="91"/>
      <c r="AA28" s="92"/>
      <c r="AB28" s="104"/>
      <c r="AC28" s="130"/>
      <c r="AD28" s="131"/>
      <c r="AE28" s="132"/>
      <c r="AF28" s="133"/>
      <c r="AG28" s="133"/>
      <c r="AH28" s="133"/>
      <c r="AI28" s="133"/>
      <c r="AJ28" s="133"/>
      <c r="AK28" s="133"/>
      <c r="AL28" s="133"/>
      <c r="AM28" s="133"/>
      <c r="AN28" s="133"/>
      <c r="AO28" s="133"/>
      <c r="AP28" s="133"/>
      <c r="AQ28" s="133"/>
      <c r="AR28" s="104"/>
      <c r="AS28" s="93" t="e">
        <f>#REF!</f>
        <v>#REF!</v>
      </c>
    </row>
    <row r="29" spans="1:45" s="85" customFormat="1" ht="34">
      <c r="A29" s="79"/>
      <c r="B29" s="159" t="e">
        <f>IF(D29="","",#REF!)</f>
        <v>#REF!</v>
      </c>
      <c r="C29" s="160"/>
      <c r="D29" s="88" t="s">
        <v>303</v>
      </c>
      <c r="E29" s="115"/>
      <c r="F29" s="116"/>
      <c r="G29" s="117"/>
      <c r="H29" s="137"/>
      <c r="I29" s="118" t="s">
        <v>196</v>
      </c>
      <c r="J29" s="118" t="s">
        <v>251</v>
      </c>
      <c r="K29" s="165"/>
      <c r="L29" s="166"/>
      <c r="M29" s="155" t="s">
        <v>344</v>
      </c>
      <c r="N29" s="124" t="s">
        <v>352</v>
      </c>
      <c r="O29" s="90">
        <v>44326</v>
      </c>
      <c r="P29" s="90">
        <v>44326</v>
      </c>
      <c r="Q29" s="124"/>
      <c r="R29" s="90"/>
      <c r="S29" s="90"/>
      <c r="T29" s="171"/>
      <c r="U29" s="172"/>
      <c r="V29" s="172"/>
      <c r="W29" s="128"/>
      <c r="X29" s="89"/>
      <c r="Y29" s="118"/>
      <c r="Z29" s="91"/>
      <c r="AA29" s="92"/>
      <c r="AB29" s="104"/>
      <c r="AC29" s="130"/>
      <c r="AD29" s="131"/>
      <c r="AE29" s="132"/>
      <c r="AF29" s="133"/>
      <c r="AG29" s="133"/>
      <c r="AH29" s="133"/>
      <c r="AI29" s="133"/>
      <c r="AJ29" s="133"/>
      <c r="AK29" s="133"/>
      <c r="AL29" s="133"/>
      <c r="AM29" s="133"/>
      <c r="AN29" s="133"/>
      <c r="AO29" s="133"/>
      <c r="AP29" s="133"/>
      <c r="AQ29" s="133"/>
      <c r="AR29" s="104"/>
      <c r="AS29" s="93" t="e">
        <f>#REF!</f>
        <v>#REF!</v>
      </c>
    </row>
    <row r="30" spans="1:45" s="85" customFormat="1" ht="34">
      <c r="A30" s="79"/>
      <c r="B30" s="159" t="e">
        <f>IF(D30="","",#REF!)</f>
        <v>#REF!</v>
      </c>
      <c r="C30" s="160"/>
      <c r="D30" s="88" t="s">
        <v>304</v>
      </c>
      <c r="E30" s="115"/>
      <c r="F30" s="116"/>
      <c r="G30" s="117"/>
      <c r="H30" s="137"/>
      <c r="I30" s="118" t="s">
        <v>197</v>
      </c>
      <c r="J30" s="118" t="s">
        <v>252</v>
      </c>
      <c r="K30" s="165"/>
      <c r="L30" s="166"/>
      <c r="M30" s="155" t="s">
        <v>344</v>
      </c>
      <c r="N30" s="124" t="s">
        <v>352</v>
      </c>
      <c r="O30" s="90">
        <v>44326</v>
      </c>
      <c r="P30" s="90">
        <v>44326</v>
      </c>
      <c r="Q30" s="124"/>
      <c r="R30" s="90"/>
      <c r="S30" s="90"/>
      <c r="T30" s="171"/>
      <c r="U30" s="172"/>
      <c r="V30" s="172"/>
      <c r="W30" s="128"/>
      <c r="X30" s="89"/>
      <c r="Y30" s="118"/>
      <c r="Z30" s="91"/>
      <c r="AA30" s="92"/>
      <c r="AB30" s="104"/>
      <c r="AC30" s="130"/>
      <c r="AD30" s="131"/>
      <c r="AE30" s="132"/>
      <c r="AF30" s="133"/>
      <c r="AG30" s="133"/>
      <c r="AH30" s="133"/>
      <c r="AI30" s="133"/>
      <c r="AJ30" s="133"/>
      <c r="AK30" s="133"/>
      <c r="AL30" s="133"/>
      <c r="AM30" s="133"/>
      <c r="AN30" s="133"/>
      <c r="AO30" s="133"/>
      <c r="AP30" s="133"/>
      <c r="AQ30" s="133"/>
      <c r="AR30" s="104"/>
      <c r="AS30" s="93" t="e">
        <f>#REF!</f>
        <v>#REF!</v>
      </c>
    </row>
    <row r="31" spans="1:45" s="85" customFormat="1" ht="51">
      <c r="A31" s="79"/>
      <c r="B31" s="159" t="e">
        <f>IF(D31="","",#REF!)</f>
        <v>#REF!</v>
      </c>
      <c r="C31" s="160"/>
      <c r="D31" s="88" t="s">
        <v>305</v>
      </c>
      <c r="E31" s="115"/>
      <c r="F31" s="116"/>
      <c r="G31" s="117"/>
      <c r="H31" s="137"/>
      <c r="I31" s="118" t="s">
        <v>198</v>
      </c>
      <c r="J31" s="118" t="s">
        <v>253</v>
      </c>
      <c r="K31" s="165"/>
      <c r="L31" s="166"/>
      <c r="M31" s="155" t="s">
        <v>344</v>
      </c>
      <c r="N31" s="124" t="s">
        <v>352</v>
      </c>
      <c r="O31" s="90">
        <v>44326</v>
      </c>
      <c r="P31" s="90">
        <v>44326</v>
      </c>
      <c r="Q31" s="124"/>
      <c r="R31" s="90"/>
      <c r="S31" s="90"/>
      <c r="T31" s="171"/>
      <c r="U31" s="172"/>
      <c r="V31" s="172"/>
      <c r="W31" s="128"/>
      <c r="X31" s="89"/>
      <c r="Y31" s="118"/>
      <c r="Z31" s="91"/>
      <c r="AA31" s="92"/>
      <c r="AB31" s="104"/>
      <c r="AC31" s="130"/>
      <c r="AD31" s="131"/>
      <c r="AE31" s="132"/>
      <c r="AF31" s="133"/>
      <c r="AG31" s="133"/>
      <c r="AH31" s="133"/>
      <c r="AI31" s="133"/>
      <c r="AJ31" s="133"/>
      <c r="AK31" s="133"/>
      <c r="AL31" s="133"/>
      <c r="AM31" s="133"/>
      <c r="AN31" s="133"/>
      <c r="AO31" s="133"/>
      <c r="AP31" s="133"/>
      <c r="AQ31" s="133"/>
      <c r="AR31" s="104"/>
      <c r="AS31" s="93" t="e">
        <f>#REF!</f>
        <v>#REF!</v>
      </c>
    </row>
    <row r="32" spans="1:45" s="85" customFormat="1" ht="34">
      <c r="A32" s="79"/>
      <c r="B32" s="159" t="e">
        <f>IF(D32="","",#REF!)</f>
        <v>#REF!</v>
      </c>
      <c r="C32" s="160"/>
      <c r="D32" s="88" t="s">
        <v>306</v>
      </c>
      <c r="E32" s="115"/>
      <c r="F32" s="116"/>
      <c r="G32" s="117"/>
      <c r="H32" s="137"/>
      <c r="I32" s="118" t="s">
        <v>199</v>
      </c>
      <c r="J32" s="118" t="s">
        <v>254</v>
      </c>
      <c r="K32" s="165"/>
      <c r="L32" s="166"/>
      <c r="M32" s="155" t="s">
        <v>344</v>
      </c>
      <c r="N32" s="124" t="s">
        <v>352</v>
      </c>
      <c r="O32" s="90">
        <v>44326</v>
      </c>
      <c r="P32" s="90">
        <v>44326</v>
      </c>
      <c r="Q32" s="124"/>
      <c r="R32" s="90"/>
      <c r="S32" s="90"/>
      <c r="T32" s="171"/>
      <c r="U32" s="172"/>
      <c r="V32" s="172"/>
      <c r="W32" s="128"/>
      <c r="X32" s="89"/>
      <c r="Y32" s="118"/>
      <c r="Z32" s="91"/>
      <c r="AA32" s="92"/>
      <c r="AB32" s="104"/>
      <c r="AC32" s="130"/>
      <c r="AD32" s="131"/>
      <c r="AE32" s="132"/>
      <c r="AF32" s="133"/>
      <c r="AG32" s="133"/>
      <c r="AH32" s="133"/>
      <c r="AI32" s="133"/>
      <c r="AJ32" s="133"/>
      <c r="AK32" s="133"/>
      <c r="AL32" s="133"/>
      <c r="AM32" s="133"/>
      <c r="AN32" s="133"/>
      <c r="AO32" s="133"/>
      <c r="AP32" s="133"/>
      <c r="AQ32" s="133"/>
      <c r="AR32" s="104"/>
      <c r="AS32" s="93" t="e">
        <f>#REF!</f>
        <v>#REF!</v>
      </c>
    </row>
    <row r="33" spans="1:45" s="85" customFormat="1" ht="34">
      <c r="A33" s="79"/>
      <c r="B33" s="159" t="e">
        <f>IF(D33="","",#REF!)</f>
        <v>#REF!</v>
      </c>
      <c r="C33" s="160"/>
      <c r="D33" s="88" t="s">
        <v>307</v>
      </c>
      <c r="E33" s="115"/>
      <c r="F33" s="116"/>
      <c r="G33" s="117"/>
      <c r="H33" s="137"/>
      <c r="I33" s="118" t="s">
        <v>200</v>
      </c>
      <c r="J33" s="118" t="s">
        <v>255</v>
      </c>
      <c r="K33" s="165"/>
      <c r="L33" s="166"/>
      <c r="M33" s="155" t="s">
        <v>344</v>
      </c>
      <c r="N33" s="124" t="s">
        <v>352</v>
      </c>
      <c r="O33" s="90">
        <v>44326</v>
      </c>
      <c r="P33" s="90">
        <v>44326</v>
      </c>
      <c r="Q33" s="124"/>
      <c r="R33" s="90"/>
      <c r="S33" s="90"/>
      <c r="T33" s="171"/>
      <c r="U33" s="172"/>
      <c r="V33" s="172"/>
      <c r="W33" s="128"/>
      <c r="X33" s="89"/>
      <c r="Y33" s="118"/>
      <c r="Z33" s="91"/>
      <c r="AA33" s="92"/>
      <c r="AB33" s="104"/>
      <c r="AC33" s="130"/>
      <c r="AD33" s="131"/>
      <c r="AE33" s="132"/>
      <c r="AF33" s="133"/>
      <c r="AG33" s="133"/>
      <c r="AH33" s="133"/>
      <c r="AI33" s="133"/>
      <c r="AJ33" s="133"/>
      <c r="AK33" s="133"/>
      <c r="AL33" s="133"/>
      <c r="AM33" s="133"/>
      <c r="AN33" s="133"/>
      <c r="AO33" s="133"/>
      <c r="AP33" s="133"/>
      <c r="AQ33" s="133"/>
      <c r="AR33" s="104"/>
      <c r="AS33" s="93" t="e">
        <f>#REF!</f>
        <v>#REF!</v>
      </c>
    </row>
    <row r="34" spans="1:45" s="85" customFormat="1" ht="34">
      <c r="A34" s="79"/>
      <c r="B34" s="159" t="e">
        <f>IF(D34="","",#REF!)</f>
        <v>#REF!</v>
      </c>
      <c r="C34" s="160"/>
      <c r="D34" s="88" t="s">
        <v>308</v>
      </c>
      <c r="E34" s="115"/>
      <c r="F34" s="116"/>
      <c r="G34" s="117"/>
      <c r="H34" s="137"/>
      <c r="I34" s="118" t="s">
        <v>201</v>
      </c>
      <c r="J34" s="118" t="s">
        <v>256</v>
      </c>
      <c r="K34" s="165"/>
      <c r="L34" s="166"/>
      <c r="M34" s="155" t="s">
        <v>344</v>
      </c>
      <c r="N34" s="124" t="s">
        <v>352</v>
      </c>
      <c r="O34" s="90">
        <v>44326</v>
      </c>
      <c r="P34" s="90">
        <v>44326</v>
      </c>
      <c r="Q34" s="124"/>
      <c r="R34" s="90"/>
      <c r="S34" s="90"/>
      <c r="T34" s="171"/>
      <c r="U34" s="172"/>
      <c r="V34" s="172"/>
      <c r="W34" s="128"/>
      <c r="X34" s="89"/>
      <c r="Y34" s="118"/>
      <c r="Z34" s="91"/>
      <c r="AA34" s="92"/>
      <c r="AB34" s="104"/>
      <c r="AC34" s="130"/>
      <c r="AD34" s="131"/>
      <c r="AE34" s="132"/>
      <c r="AF34" s="133"/>
      <c r="AG34" s="133"/>
      <c r="AH34" s="133"/>
      <c r="AI34" s="133"/>
      <c r="AJ34" s="133"/>
      <c r="AK34" s="133"/>
      <c r="AL34" s="133"/>
      <c r="AM34" s="133"/>
      <c r="AN34" s="133"/>
      <c r="AO34" s="133"/>
      <c r="AP34" s="133"/>
      <c r="AQ34" s="133"/>
      <c r="AR34" s="104"/>
      <c r="AS34" s="93" t="e">
        <f>#REF!</f>
        <v>#REF!</v>
      </c>
    </row>
    <row r="35" spans="1:45" s="85" customFormat="1" ht="34">
      <c r="A35" s="79"/>
      <c r="B35" s="159" t="e">
        <f>IF(D35="","",#REF!)</f>
        <v>#REF!</v>
      </c>
      <c r="C35" s="160"/>
      <c r="D35" s="88" t="s">
        <v>309</v>
      </c>
      <c r="E35" s="115"/>
      <c r="F35" s="116"/>
      <c r="G35" s="117"/>
      <c r="H35" s="137"/>
      <c r="I35" s="118" t="s">
        <v>202</v>
      </c>
      <c r="J35" s="118" t="s">
        <v>257</v>
      </c>
      <c r="K35" s="165"/>
      <c r="L35" s="166"/>
      <c r="M35" s="155" t="s">
        <v>344</v>
      </c>
      <c r="N35" s="124" t="s">
        <v>353</v>
      </c>
      <c r="O35" s="90">
        <v>44327</v>
      </c>
      <c r="P35" s="90">
        <v>44327</v>
      </c>
      <c r="Q35" s="124"/>
      <c r="R35" s="90"/>
      <c r="S35" s="90"/>
      <c r="T35" s="171"/>
      <c r="U35" s="172"/>
      <c r="V35" s="172"/>
      <c r="W35" s="128"/>
      <c r="X35" s="89"/>
      <c r="Y35" s="118"/>
      <c r="Z35" s="91"/>
      <c r="AA35" s="92"/>
      <c r="AB35" s="104"/>
      <c r="AC35" s="130"/>
      <c r="AD35" s="131"/>
      <c r="AE35" s="132"/>
      <c r="AF35" s="133"/>
      <c r="AG35" s="133"/>
      <c r="AH35" s="133"/>
      <c r="AI35" s="133"/>
      <c r="AJ35" s="133"/>
      <c r="AK35" s="133"/>
      <c r="AL35" s="133"/>
      <c r="AM35" s="133"/>
      <c r="AN35" s="133"/>
      <c r="AO35" s="133"/>
      <c r="AP35" s="133"/>
      <c r="AQ35" s="133"/>
      <c r="AR35" s="104"/>
      <c r="AS35" s="93" t="e">
        <f>#REF!</f>
        <v>#REF!</v>
      </c>
    </row>
    <row r="36" spans="1:45" s="85" customFormat="1" ht="34">
      <c r="A36" s="79"/>
      <c r="B36" s="159" t="e">
        <f>IF(D36="","",#REF!)</f>
        <v>#REF!</v>
      </c>
      <c r="C36" s="160"/>
      <c r="D36" s="88" t="s">
        <v>310</v>
      </c>
      <c r="E36" s="115"/>
      <c r="F36" s="116"/>
      <c r="G36" s="117"/>
      <c r="H36" s="137"/>
      <c r="I36" s="118" t="s">
        <v>203</v>
      </c>
      <c r="J36" s="118" t="s">
        <v>258</v>
      </c>
      <c r="K36" s="165"/>
      <c r="L36" s="166"/>
      <c r="M36" s="155" t="s">
        <v>344</v>
      </c>
      <c r="N36" s="124" t="s">
        <v>353</v>
      </c>
      <c r="O36" s="90">
        <v>44327</v>
      </c>
      <c r="P36" s="90">
        <v>44327</v>
      </c>
      <c r="Q36" s="124"/>
      <c r="R36" s="90"/>
      <c r="S36" s="90"/>
      <c r="T36" s="171"/>
      <c r="U36" s="172"/>
      <c r="V36" s="172"/>
      <c r="W36" s="128"/>
      <c r="X36" s="89"/>
      <c r="Y36" s="118"/>
      <c r="Z36" s="91"/>
      <c r="AA36" s="92"/>
      <c r="AB36" s="104"/>
      <c r="AC36" s="130"/>
      <c r="AD36" s="131"/>
      <c r="AE36" s="132"/>
      <c r="AF36" s="133"/>
      <c r="AG36" s="133"/>
      <c r="AH36" s="133"/>
      <c r="AI36" s="133"/>
      <c r="AJ36" s="133"/>
      <c r="AK36" s="133"/>
      <c r="AL36" s="133"/>
      <c r="AM36" s="133"/>
      <c r="AN36" s="133"/>
      <c r="AO36" s="133"/>
      <c r="AP36" s="133"/>
      <c r="AQ36" s="133"/>
      <c r="AR36" s="104"/>
      <c r="AS36" s="93" t="e">
        <f>#REF!</f>
        <v>#REF!</v>
      </c>
    </row>
    <row r="37" spans="1:45" s="85" customFormat="1" ht="34">
      <c r="A37" s="79"/>
      <c r="B37" s="159" t="e">
        <f>IF(D37="","",#REF!)</f>
        <v>#REF!</v>
      </c>
      <c r="C37" s="160"/>
      <c r="D37" s="88" t="s">
        <v>311</v>
      </c>
      <c r="E37" s="115"/>
      <c r="F37" s="116"/>
      <c r="G37" s="117"/>
      <c r="H37" s="137"/>
      <c r="I37" s="118" t="s">
        <v>204</v>
      </c>
      <c r="J37" s="118" t="s">
        <v>259</v>
      </c>
      <c r="K37" s="165"/>
      <c r="L37" s="166"/>
      <c r="M37" s="155" t="s">
        <v>344</v>
      </c>
      <c r="N37" s="124" t="s">
        <v>353</v>
      </c>
      <c r="O37" s="90">
        <v>44327</v>
      </c>
      <c r="P37" s="90">
        <v>44327</v>
      </c>
      <c r="Q37" s="124"/>
      <c r="R37" s="90"/>
      <c r="S37" s="90"/>
      <c r="T37" s="171"/>
      <c r="U37" s="172"/>
      <c r="V37" s="172"/>
      <c r="W37" s="128"/>
      <c r="X37" s="89"/>
      <c r="Y37" s="118"/>
      <c r="Z37" s="91"/>
      <c r="AA37" s="92"/>
      <c r="AB37" s="104"/>
      <c r="AC37" s="130"/>
      <c r="AD37" s="131"/>
      <c r="AE37" s="132"/>
      <c r="AF37" s="133"/>
      <c r="AG37" s="133"/>
      <c r="AH37" s="133"/>
      <c r="AI37" s="133"/>
      <c r="AJ37" s="133"/>
      <c r="AK37" s="133"/>
      <c r="AL37" s="133"/>
      <c r="AM37" s="133"/>
      <c r="AN37" s="133"/>
      <c r="AO37" s="133"/>
      <c r="AP37" s="133"/>
      <c r="AQ37" s="133"/>
      <c r="AR37" s="104"/>
      <c r="AS37" s="93" t="e">
        <f>#REF!</f>
        <v>#REF!</v>
      </c>
    </row>
    <row r="38" spans="1:45" s="85" customFormat="1" ht="34">
      <c r="A38" s="79"/>
      <c r="B38" s="159" t="e">
        <f>IF(D38="","",#REF!)</f>
        <v>#REF!</v>
      </c>
      <c r="C38" s="160"/>
      <c r="D38" s="88" t="s">
        <v>312</v>
      </c>
      <c r="E38" s="115"/>
      <c r="F38" s="116"/>
      <c r="G38" s="117"/>
      <c r="H38" s="137"/>
      <c r="I38" s="118" t="s">
        <v>205</v>
      </c>
      <c r="J38" s="118" t="s">
        <v>260</v>
      </c>
      <c r="K38" s="165"/>
      <c r="L38" s="166"/>
      <c r="M38" s="155" t="s">
        <v>344</v>
      </c>
      <c r="N38" s="124" t="s">
        <v>353</v>
      </c>
      <c r="O38" s="90">
        <v>44327</v>
      </c>
      <c r="P38" s="90">
        <v>44327</v>
      </c>
      <c r="Q38" s="124"/>
      <c r="R38" s="90"/>
      <c r="S38" s="90"/>
      <c r="T38" s="171"/>
      <c r="U38" s="172"/>
      <c r="V38" s="172"/>
      <c r="W38" s="128"/>
      <c r="X38" s="89"/>
      <c r="Y38" s="118"/>
      <c r="Z38" s="91"/>
      <c r="AA38" s="92"/>
      <c r="AB38" s="104"/>
      <c r="AC38" s="130"/>
      <c r="AD38" s="131"/>
      <c r="AE38" s="132"/>
      <c r="AF38" s="133"/>
      <c r="AG38" s="133"/>
      <c r="AH38" s="133"/>
      <c r="AI38" s="133"/>
      <c r="AJ38" s="133"/>
      <c r="AK38" s="133"/>
      <c r="AL38" s="133"/>
      <c r="AM38" s="133"/>
      <c r="AN38" s="133"/>
      <c r="AO38" s="133"/>
      <c r="AP38" s="133"/>
      <c r="AQ38" s="133"/>
      <c r="AR38" s="104"/>
      <c r="AS38" s="93" t="e">
        <f>#REF!</f>
        <v>#REF!</v>
      </c>
    </row>
    <row r="39" spans="1:45" s="85" customFormat="1" ht="34">
      <c r="A39" s="79"/>
      <c r="B39" s="159" t="e">
        <f>IF(D39="","",#REF!)</f>
        <v>#REF!</v>
      </c>
      <c r="C39" s="160"/>
      <c r="D39" s="88" t="s">
        <v>313</v>
      </c>
      <c r="E39" s="115"/>
      <c r="F39" s="116"/>
      <c r="G39" s="117"/>
      <c r="H39" s="137"/>
      <c r="I39" s="118" t="s">
        <v>206</v>
      </c>
      <c r="J39" s="118" t="s">
        <v>261</v>
      </c>
      <c r="K39" s="165"/>
      <c r="L39" s="166"/>
      <c r="M39" s="155" t="s">
        <v>344</v>
      </c>
      <c r="N39" s="124" t="s">
        <v>353</v>
      </c>
      <c r="O39" s="90">
        <v>44327</v>
      </c>
      <c r="P39" s="90">
        <v>44327</v>
      </c>
      <c r="Q39" s="124"/>
      <c r="R39" s="90"/>
      <c r="S39" s="90"/>
      <c r="T39" s="171"/>
      <c r="U39" s="172"/>
      <c r="V39" s="172"/>
      <c r="W39" s="128"/>
      <c r="X39" s="89"/>
      <c r="Y39" s="118"/>
      <c r="Z39" s="91"/>
      <c r="AA39" s="92"/>
      <c r="AB39" s="104"/>
      <c r="AC39" s="130"/>
      <c r="AD39" s="131"/>
      <c r="AE39" s="132"/>
      <c r="AF39" s="133"/>
      <c r="AG39" s="133"/>
      <c r="AH39" s="133"/>
      <c r="AI39" s="133"/>
      <c r="AJ39" s="133"/>
      <c r="AK39" s="133"/>
      <c r="AL39" s="133"/>
      <c r="AM39" s="133"/>
      <c r="AN39" s="133"/>
      <c r="AO39" s="133"/>
      <c r="AP39" s="133"/>
      <c r="AQ39" s="133"/>
      <c r="AR39" s="104"/>
      <c r="AS39" s="93" t="e">
        <f>#REF!</f>
        <v>#REF!</v>
      </c>
    </row>
    <row r="40" spans="1:45" s="85" customFormat="1" ht="34">
      <c r="A40" s="79"/>
      <c r="B40" s="159" t="e">
        <f>IF(D40="","",#REF!)</f>
        <v>#REF!</v>
      </c>
      <c r="C40" s="160"/>
      <c r="D40" s="88" t="s">
        <v>314</v>
      </c>
      <c r="E40" s="115"/>
      <c r="F40" s="116"/>
      <c r="G40" s="117"/>
      <c r="H40" s="137"/>
      <c r="I40" s="118" t="s">
        <v>207</v>
      </c>
      <c r="J40" s="118" t="s">
        <v>262</v>
      </c>
      <c r="K40" s="165"/>
      <c r="L40" s="166"/>
      <c r="M40" s="155" t="s">
        <v>344</v>
      </c>
      <c r="N40" s="124" t="s">
        <v>353</v>
      </c>
      <c r="O40" s="90">
        <v>44327</v>
      </c>
      <c r="P40" s="90">
        <v>44327</v>
      </c>
      <c r="Q40" s="124"/>
      <c r="R40" s="90"/>
      <c r="S40" s="90"/>
      <c r="T40" s="171"/>
      <c r="U40" s="172"/>
      <c r="V40" s="172"/>
      <c r="W40" s="128"/>
      <c r="X40" s="89"/>
      <c r="Y40" s="118"/>
      <c r="Z40" s="91"/>
      <c r="AA40" s="92"/>
      <c r="AB40" s="104"/>
      <c r="AC40" s="130"/>
      <c r="AD40" s="131"/>
      <c r="AE40" s="132"/>
      <c r="AF40" s="133"/>
      <c r="AG40" s="133"/>
      <c r="AH40" s="133"/>
      <c r="AI40" s="133"/>
      <c r="AJ40" s="133"/>
      <c r="AK40" s="133"/>
      <c r="AL40" s="133"/>
      <c r="AM40" s="133"/>
      <c r="AN40" s="133"/>
      <c r="AO40" s="133"/>
      <c r="AP40" s="133"/>
      <c r="AQ40" s="133"/>
      <c r="AR40" s="104"/>
      <c r="AS40" s="93" t="e">
        <f>#REF!</f>
        <v>#REF!</v>
      </c>
    </row>
    <row r="41" spans="1:45" s="85" customFormat="1" ht="34">
      <c r="A41" s="79"/>
      <c r="B41" s="159" t="e">
        <f>IF(D41="","",#REF!)</f>
        <v>#REF!</v>
      </c>
      <c r="C41" s="160"/>
      <c r="D41" s="88" t="s">
        <v>315</v>
      </c>
      <c r="E41" s="115"/>
      <c r="F41" s="116"/>
      <c r="G41" s="117"/>
      <c r="H41" s="137"/>
      <c r="I41" s="118" t="s">
        <v>208</v>
      </c>
      <c r="J41" s="118" t="s">
        <v>263</v>
      </c>
      <c r="K41" s="165"/>
      <c r="L41" s="166"/>
      <c r="M41" s="155" t="s">
        <v>344</v>
      </c>
      <c r="N41" s="124" t="s">
        <v>353</v>
      </c>
      <c r="O41" s="90">
        <v>44327</v>
      </c>
      <c r="P41" s="90">
        <v>44327</v>
      </c>
      <c r="Q41" s="124"/>
      <c r="R41" s="90"/>
      <c r="S41" s="90"/>
      <c r="T41" s="171"/>
      <c r="U41" s="172"/>
      <c r="V41" s="172"/>
      <c r="W41" s="128"/>
      <c r="X41" s="89"/>
      <c r="Y41" s="118"/>
      <c r="Z41" s="91"/>
      <c r="AA41" s="92"/>
      <c r="AB41" s="104"/>
      <c r="AC41" s="130"/>
      <c r="AD41" s="131"/>
      <c r="AE41" s="132"/>
      <c r="AF41" s="133"/>
      <c r="AG41" s="133"/>
      <c r="AH41" s="133"/>
      <c r="AI41" s="133"/>
      <c r="AJ41" s="133"/>
      <c r="AK41" s="133"/>
      <c r="AL41" s="133"/>
      <c r="AM41" s="133"/>
      <c r="AN41" s="133"/>
      <c r="AO41" s="133"/>
      <c r="AP41" s="133"/>
      <c r="AQ41" s="133"/>
      <c r="AR41" s="104"/>
      <c r="AS41" s="93" t="e">
        <f>#REF!</f>
        <v>#REF!</v>
      </c>
    </row>
    <row r="42" spans="1:45" s="85" customFormat="1" ht="51">
      <c r="A42" s="79"/>
      <c r="B42" s="159" t="e">
        <f>IF(D42="","",#REF!)</f>
        <v>#REF!</v>
      </c>
      <c r="C42" s="160"/>
      <c r="D42" s="88" t="s">
        <v>316</v>
      </c>
      <c r="E42" s="115"/>
      <c r="F42" s="116"/>
      <c r="G42" s="117"/>
      <c r="H42" s="137"/>
      <c r="I42" s="118" t="s">
        <v>209</v>
      </c>
      <c r="J42" s="118" t="s">
        <v>264</v>
      </c>
      <c r="K42" s="165"/>
      <c r="L42" s="166"/>
      <c r="M42" s="155" t="s">
        <v>344</v>
      </c>
      <c r="N42" s="124" t="s">
        <v>353</v>
      </c>
      <c r="O42" s="90">
        <v>44327</v>
      </c>
      <c r="P42" s="90">
        <v>44327</v>
      </c>
      <c r="Q42" s="124"/>
      <c r="R42" s="90"/>
      <c r="S42" s="90"/>
      <c r="T42" s="171"/>
      <c r="U42" s="172"/>
      <c r="V42" s="172"/>
      <c r="W42" s="128"/>
      <c r="X42" s="89"/>
      <c r="Y42" s="118"/>
      <c r="Z42" s="91"/>
      <c r="AA42" s="92"/>
      <c r="AB42" s="104"/>
      <c r="AC42" s="130"/>
      <c r="AD42" s="131"/>
      <c r="AE42" s="132"/>
      <c r="AF42" s="133"/>
      <c r="AG42" s="133"/>
      <c r="AH42" s="133"/>
      <c r="AI42" s="133"/>
      <c r="AJ42" s="133"/>
      <c r="AK42" s="133"/>
      <c r="AL42" s="133"/>
      <c r="AM42" s="133"/>
      <c r="AN42" s="133"/>
      <c r="AO42" s="133"/>
      <c r="AP42" s="133"/>
      <c r="AQ42" s="133"/>
      <c r="AR42" s="104"/>
      <c r="AS42" s="93" t="e">
        <f>#REF!</f>
        <v>#REF!</v>
      </c>
    </row>
    <row r="43" spans="1:45" s="85" customFormat="1" ht="34">
      <c r="A43" s="79"/>
      <c r="B43" s="159" t="e">
        <f>IF(D43="","",#REF!)</f>
        <v>#REF!</v>
      </c>
      <c r="C43" s="160"/>
      <c r="D43" s="88" t="s">
        <v>317</v>
      </c>
      <c r="E43" s="115"/>
      <c r="F43" s="116"/>
      <c r="G43" s="117"/>
      <c r="H43" s="137"/>
      <c r="I43" s="118" t="s">
        <v>210</v>
      </c>
      <c r="J43" s="118" t="s">
        <v>265</v>
      </c>
      <c r="K43" s="165"/>
      <c r="L43" s="166"/>
      <c r="M43" s="155" t="s">
        <v>344</v>
      </c>
      <c r="N43" s="124" t="s">
        <v>353</v>
      </c>
      <c r="O43" s="90">
        <v>44327</v>
      </c>
      <c r="P43" s="90">
        <v>44327</v>
      </c>
      <c r="Q43" s="124"/>
      <c r="R43" s="90"/>
      <c r="S43" s="90"/>
      <c r="T43" s="171"/>
      <c r="U43" s="172"/>
      <c r="V43" s="172"/>
      <c r="W43" s="128"/>
      <c r="X43" s="89"/>
      <c r="Y43" s="118"/>
      <c r="Z43" s="91"/>
      <c r="AA43" s="92"/>
      <c r="AB43" s="104"/>
      <c r="AC43" s="130"/>
      <c r="AD43" s="131"/>
      <c r="AE43" s="132"/>
      <c r="AF43" s="133"/>
      <c r="AG43" s="133"/>
      <c r="AH43" s="133"/>
      <c r="AI43" s="133"/>
      <c r="AJ43" s="133"/>
      <c r="AK43" s="133"/>
      <c r="AL43" s="133"/>
      <c r="AM43" s="133"/>
      <c r="AN43" s="133"/>
      <c r="AO43" s="133"/>
      <c r="AP43" s="133"/>
      <c r="AQ43" s="133"/>
      <c r="AR43" s="104"/>
      <c r="AS43" s="93" t="e">
        <f>#REF!</f>
        <v>#REF!</v>
      </c>
    </row>
    <row r="44" spans="1:45" s="85" customFormat="1" ht="51">
      <c r="A44" s="79"/>
      <c r="B44" s="159" t="e">
        <f>IF(D44="","",#REF!)</f>
        <v>#REF!</v>
      </c>
      <c r="C44" s="160"/>
      <c r="D44" s="88" t="s">
        <v>318</v>
      </c>
      <c r="E44" s="115"/>
      <c r="F44" s="116"/>
      <c r="G44" s="117"/>
      <c r="H44" s="137"/>
      <c r="I44" s="118" t="s">
        <v>211</v>
      </c>
      <c r="J44" s="118" t="s">
        <v>266</v>
      </c>
      <c r="K44" s="165"/>
      <c r="L44" s="166"/>
      <c r="M44" s="155" t="s">
        <v>344</v>
      </c>
      <c r="N44" s="124" t="s">
        <v>353</v>
      </c>
      <c r="O44" s="90">
        <v>44327</v>
      </c>
      <c r="P44" s="90">
        <v>44327</v>
      </c>
      <c r="Q44" s="124"/>
      <c r="R44" s="90"/>
      <c r="S44" s="90"/>
      <c r="T44" s="171"/>
      <c r="U44" s="172"/>
      <c r="V44" s="172"/>
      <c r="W44" s="128"/>
      <c r="X44" s="89"/>
      <c r="Y44" s="118"/>
      <c r="Z44" s="91"/>
      <c r="AA44" s="92"/>
      <c r="AB44" s="104"/>
      <c r="AC44" s="130"/>
      <c r="AD44" s="131"/>
      <c r="AE44" s="132"/>
      <c r="AF44" s="133"/>
      <c r="AG44" s="133"/>
      <c r="AH44" s="133"/>
      <c r="AI44" s="133"/>
      <c r="AJ44" s="133"/>
      <c r="AK44" s="133"/>
      <c r="AL44" s="133"/>
      <c r="AM44" s="133"/>
      <c r="AN44" s="133"/>
      <c r="AO44" s="133"/>
      <c r="AP44" s="133"/>
      <c r="AQ44" s="133"/>
      <c r="AR44" s="104"/>
      <c r="AS44" s="93" t="e">
        <f>#REF!</f>
        <v>#REF!</v>
      </c>
    </row>
    <row r="45" spans="1:45" s="85" customFormat="1" ht="51">
      <c r="A45" s="79"/>
      <c r="B45" s="159" t="e">
        <f>IF(D45="","",#REF!)</f>
        <v>#REF!</v>
      </c>
      <c r="C45" s="160"/>
      <c r="D45" s="88" t="s">
        <v>319</v>
      </c>
      <c r="E45" s="115"/>
      <c r="F45" s="116"/>
      <c r="G45" s="117"/>
      <c r="H45" s="137"/>
      <c r="I45" s="118" t="s">
        <v>212</v>
      </c>
      <c r="J45" s="118" t="s">
        <v>267</v>
      </c>
      <c r="K45" s="165"/>
      <c r="L45" s="166"/>
      <c r="M45" s="155" t="s">
        <v>344</v>
      </c>
      <c r="N45" s="124" t="s">
        <v>353</v>
      </c>
      <c r="O45" s="90">
        <v>44327</v>
      </c>
      <c r="P45" s="90">
        <v>44327</v>
      </c>
      <c r="Q45" s="124"/>
      <c r="R45" s="90"/>
      <c r="S45" s="90"/>
      <c r="T45" s="171"/>
      <c r="U45" s="172"/>
      <c r="V45" s="172"/>
      <c r="W45" s="128"/>
      <c r="X45" s="89"/>
      <c r="Y45" s="118"/>
      <c r="Z45" s="91"/>
      <c r="AA45" s="92"/>
      <c r="AB45" s="104"/>
      <c r="AC45" s="130"/>
      <c r="AD45" s="131"/>
      <c r="AE45" s="132"/>
      <c r="AF45" s="133"/>
      <c r="AG45" s="133"/>
      <c r="AH45" s="133"/>
      <c r="AI45" s="133"/>
      <c r="AJ45" s="133"/>
      <c r="AK45" s="133"/>
      <c r="AL45" s="133"/>
      <c r="AM45" s="133"/>
      <c r="AN45" s="133"/>
      <c r="AO45" s="133"/>
      <c r="AP45" s="133"/>
      <c r="AQ45" s="133"/>
      <c r="AR45" s="104"/>
      <c r="AS45" s="93" t="e">
        <f>#REF!</f>
        <v>#REF!</v>
      </c>
    </row>
    <row r="46" spans="1:45" s="85" customFormat="1" ht="51">
      <c r="A46" s="79"/>
      <c r="B46" s="159" t="e">
        <f>IF(D46="","",#REF!)</f>
        <v>#REF!</v>
      </c>
      <c r="C46" s="160"/>
      <c r="D46" s="88" t="s">
        <v>320</v>
      </c>
      <c r="E46" s="115"/>
      <c r="F46" s="116"/>
      <c r="G46" s="117"/>
      <c r="H46" s="137"/>
      <c r="I46" s="118" t="s">
        <v>213</v>
      </c>
      <c r="J46" s="118" t="s">
        <v>267</v>
      </c>
      <c r="K46" s="165"/>
      <c r="L46" s="166"/>
      <c r="M46" s="155" t="s">
        <v>344</v>
      </c>
      <c r="N46" s="124" t="s">
        <v>353</v>
      </c>
      <c r="O46" s="90">
        <v>44327</v>
      </c>
      <c r="P46" s="90">
        <v>44327</v>
      </c>
      <c r="Q46" s="124"/>
      <c r="R46" s="90"/>
      <c r="S46" s="90"/>
      <c r="T46" s="171"/>
      <c r="U46" s="172"/>
      <c r="V46" s="172"/>
      <c r="W46" s="128"/>
      <c r="X46" s="89"/>
      <c r="Y46" s="118"/>
      <c r="Z46" s="91"/>
      <c r="AA46" s="92"/>
      <c r="AB46" s="104"/>
      <c r="AC46" s="130"/>
      <c r="AD46" s="131"/>
      <c r="AE46" s="132"/>
      <c r="AF46" s="133"/>
      <c r="AG46" s="133"/>
      <c r="AH46" s="133"/>
      <c r="AI46" s="133"/>
      <c r="AJ46" s="133"/>
      <c r="AK46" s="133"/>
      <c r="AL46" s="133"/>
      <c r="AM46" s="133"/>
      <c r="AN46" s="133"/>
      <c r="AO46" s="133"/>
      <c r="AP46" s="133"/>
      <c r="AQ46" s="133"/>
      <c r="AR46" s="104"/>
      <c r="AS46" s="93" t="e">
        <f>#REF!</f>
        <v>#REF!</v>
      </c>
    </row>
    <row r="47" spans="1:45" s="85" customFormat="1">
      <c r="A47" s="79"/>
      <c r="B47" s="159" t="e">
        <f>IF(D47="","",#REF!)</f>
        <v>#REF!</v>
      </c>
      <c r="C47" s="160"/>
      <c r="D47" s="88" t="s">
        <v>321</v>
      </c>
      <c r="E47" s="115"/>
      <c r="F47" s="116"/>
      <c r="G47" s="117"/>
      <c r="H47" s="137"/>
      <c r="I47" s="118" t="s">
        <v>214</v>
      </c>
      <c r="J47" s="118" t="s">
        <v>268</v>
      </c>
      <c r="K47" s="165"/>
      <c r="L47" s="166"/>
      <c r="M47" s="155" t="s">
        <v>344</v>
      </c>
      <c r="N47" s="124" t="s">
        <v>353</v>
      </c>
      <c r="O47" s="90">
        <v>44327</v>
      </c>
      <c r="P47" s="90">
        <v>44327</v>
      </c>
      <c r="Q47" s="124"/>
      <c r="R47" s="90"/>
      <c r="S47" s="90"/>
      <c r="T47" s="171"/>
      <c r="U47" s="172"/>
      <c r="V47" s="172"/>
      <c r="W47" s="128"/>
      <c r="X47" s="89"/>
      <c r="Y47" s="118"/>
      <c r="Z47" s="91"/>
      <c r="AA47" s="92"/>
      <c r="AB47" s="104"/>
      <c r="AC47" s="130"/>
      <c r="AD47" s="131"/>
      <c r="AE47" s="132"/>
      <c r="AF47" s="133"/>
      <c r="AG47" s="133"/>
      <c r="AH47" s="133"/>
      <c r="AI47" s="133"/>
      <c r="AJ47" s="133"/>
      <c r="AK47" s="133"/>
      <c r="AL47" s="133"/>
      <c r="AM47" s="133"/>
      <c r="AN47" s="133"/>
      <c r="AO47" s="133"/>
      <c r="AP47" s="133"/>
      <c r="AQ47" s="133"/>
      <c r="AR47" s="104"/>
      <c r="AS47" s="93" t="e">
        <f>#REF!</f>
        <v>#REF!</v>
      </c>
    </row>
    <row r="48" spans="1:45" s="85" customFormat="1" ht="34">
      <c r="A48" s="79"/>
      <c r="B48" s="159" t="e">
        <f>IF(D48="","",#REF!)</f>
        <v>#REF!</v>
      </c>
      <c r="C48" s="160"/>
      <c r="D48" s="88" t="s">
        <v>322</v>
      </c>
      <c r="E48" s="115"/>
      <c r="F48" s="116"/>
      <c r="G48" s="117"/>
      <c r="H48" s="137"/>
      <c r="I48" s="118" t="s">
        <v>215</v>
      </c>
      <c r="J48" s="118" t="s">
        <v>269</v>
      </c>
      <c r="K48" s="165"/>
      <c r="L48" s="166"/>
      <c r="M48" s="155" t="s">
        <v>344</v>
      </c>
      <c r="N48" s="124" t="s">
        <v>353</v>
      </c>
      <c r="O48" s="90">
        <v>44327</v>
      </c>
      <c r="P48" s="90">
        <v>44327</v>
      </c>
      <c r="Q48" s="124"/>
      <c r="R48" s="90"/>
      <c r="S48" s="90"/>
      <c r="T48" s="171"/>
      <c r="U48" s="172"/>
      <c r="V48" s="172"/>
      <c r="W48" s="128"/>
      <c r="X48" s="89"/>
      <c r="Y48" s="118"/>
      <c r="Z48" s="91"/>
      <c r="AA48" s="92"/>
      <c r="AB48" s="104"/>
      <c r="AC48" s="130"/>
      <c r="AD48" s="131"/>
      <c r="AE48" s="132"/>
      <c r="AF48" s="133"/>
      <c r="AG48" s="133"/>
      <c r="AH48" s="133"/>
      <c r="AI48" s="133"/>
      <c r="AJ48" s="133"/>
      <c r="AK48" s="133"/>
      <c r="AL48" s="133"/>
      <c r="AM48" s="133"/>
      <c r="AN48" s="133"/>
      <c r="AO48" s="133"/>
      <c r="AP48" s="133"/>
      <c r="AQ48" s="133"/>
      <c r="AR48" s="104"/>
      <c r="AS48" s="93" t="e">
        <f>#REF!</f>
        <v>#REF!</v>
      </c>
    </row>
    <row r="49" spans="1:45" s="85" customFormat="1" ht="34">
      <c r="A49" s="79"/>
      <c r="B49" s="159" t="e">
        <f>IF(D49="","",#REF!)</f>
        <v>#REF!</v>
      </c>
      <c r="C49" s="160"/>
      <c r="D49" s="88" t="s">
        <v>323</v>
      </c>
      <c r="E49" s="115"/>
      <c r="F49" s="116"/>
      <c r="G49" s="117"/>
      <c r="H49" s="137"/>
      <c r="I49" s="118" t="s">
        <v>216</v>
      </c>
      <c r="J49" s="118" t="s">
        <v>270</v>
      </c>
      <c r="K49" s="165"/>
      <c r="L49" s="166"/>
      <c r="M49" s="155" t="s">
        <v>344</v>
      </c>
      <c r="N49" s="124" t="s">
        <v>353</v>
      </c>
      <c r="O49" s="90">
        <v>44327</v>
      </c>
      <c r="P49" s="90">
        <v>44327</v>
      </c>
      <c r="Q49" s="124"/>
      <c r="R49" s="90"/>
      <c r="S49" s="90"/>
      <c r="T49" s="171"/>
      <c r="U49" s="172"/>
      <c r="V49" s="172"/>
      <c r="W49" s="128"/>
      <c r="X49" s="89"/>
      <c r="Y49" s="118"/>
      <c r="Z49" s="91"/>
      <c r="AA49" s="92"/>
      <c r="AB49" s="104"/>
      <c r="AC49" s="130"/>
      <c r="AD49" s="131"/>
      <c r="AE49" s="132"/>
      <c r="AF49" s="133"/>
      <c r="AG49" s="133"/>
      <c r="AH49" s="133"/>
      <c r="AI49" s="133"/>
      <c r="AJ49" s="133"/>
      <c r="AK49" s="133"/>
      <c r="AL49" s="133"/>
      <c r="AM49" s="133"/>
      <c r="AN49" s="133"/>
      <c r="AO49" s="133"/>
      <c r="AP49" s="133"/>
      <c r="AQ49" s="133"/>
      <c r="AR49" s="104"/>
      <c r="AS49" s="93" t="e">
        <f>#REF!</f>
        <v>#REF!</v>
      </c>
    </row>
    <row r="50" spans="1:45" s="85" customFormat="1" ht="34">
      <c r="A50" s="79"/>
      <c r="B50" s="159" t="e">
        <f>IF(D50="","",#REF!)</f>
        <v>#REF!</v>
      </c>
      <c r="C50" s="160"/>
      <c r="D50" s="88" t="s">
        <v>324</v>
      </c>
      <c r="E50" s="115"/>
      <c r="F50" s="116"/>
      <c r="G50" s="117"/>
      <c r="H50" s="137"/>
      <c r="I50" s="118" t="s">
        <v>217</v>
      </c>
      <c r="J50" s="118" t="s">
        <v>271</v>
      </c>
      <c r="K50" s="165"/>
      <c r="L50" s="166"/>
      <c r="M50" s="155" t="s">
        <v>344</v>
      </c>
      <c r="N50" s="124" t="s">
        <v>353</v>
      </c>
      <c r="O50" s="90">
        <v>44327</v>
      </c>
      <c r="P50" s="90">
        <v>44327</v>
      </c>
      <c r="Q50" s="124"/>
      <c r="R50" s="90"/>
      <c r="S50" s="90"/>
      <c r="T50" s="171"/>
      <c r="U50" s="172"/>
      <c r="V50" s="172"/>
      <c r="W50" s="128"/>
      <c r="X50" s="89"/>
      <c r="Y50" s="118"/>
      <c r="Z50" s="91"/>
      <c r="AA50" s="92"/>
      <c r="AB50" s="104"/>
      <c r="AC50" s="130"/>
      <c r="AD50" s="131"/>
      <c r="AE50" s="132"/>
      <c r="AF50" s="133"/>
      <c r="AG50" s="133"/>
      <c r="AH50" s="133"/>
      <c r="AI50" s="133"/>
      <c r="AJ50" s="133"/>
      <c r="AK50" s="133"/>
      <c r="AL50" s="133"/>
      <c r="AM50" s="133"/>
      <c r="AN50" s="133"/>
      <c r="AO50" s="133"/>
      <c r="AP50" s="133"/>
      <c r="AQ50" s="133"/>
      <c r="AR50" s="104"/>
      <c r="AS50" s="93" t="e">
        <f>#REF!</f>
        <v>#REF!</v>
      </c>
    </row>
    <row r="51" spans="1:45" s="85" customFormat="1">
      <c r="A51" s="79"/>
      <c r="B51" s="159" t="e">
        <f>IF(D51="","",#REF!)</f>
        <v>#REF!</v>
      </c>
      <c r="C51" s="160"/>
      <c r="D51" s="88" t="s">
        <v>325</v>
      </c>
      <c r="E51" s="115"/>
      <c r="F51" s="116"/>
      <c r="G51" s="117"/>
      <c r="H51" s="137"/>
      <c r="I51" s="118" t="s">
        <v>218</v>
      </c>
      <c r="J51" s="118" t="s">
        <v>272</v>
      </c>
      <c r="K51" s="165"/>
      <c r="L51" s="166"/>
      <c r="M51" s="155" t="s">
        <v>344</v>
      </c>
      <c r="N51" s="124" t="s">
        <v>353</v>
      </c>
      <c r="O51" s="90">
        <v>44327</v>
      </c>
      <c r="P51" s="90">
        <v>44327</v>
      </c>
      <c r="Q51" s="124"/>
      <c r="R51" s="90"/>
      <c r="S51" s="90"/>
      <c r="T51" s="171"/>
      <c r="U51" s="172"/>
      <c r="V51" s="172"/>
      <c r="W51" s="128"/>
      <c r="X51" s="89"/>
      <c r="Y51" s="118"/>
      <c r="Z51" s="91"/>
      <c r="AA51" s="92"/>
      <c r="AB51" s="104"/>
      <c r="AC51" s="130"/>
      <c r="AD51" s="131"/>
      <c r="AE51" s="132"/>
      <c r="AF51" s="133"/>
      <c r="AG51" s="133"/>
      <c r="AH51" s="133"/>
      <c r="AI51" s="133"/>
      <c r="AJ51" s="133"/>
      <c r="AK51" s="133"/>
      <c r="AL51" s="133"/>
      <c r="AM51" s="133"/>
      <c r="AN51" s="133"/>
      <c r="AO51" s="133"/>
      <c r="AP51" s="133"/>
      <c r="AQ51" s="133"/>
      <c r="AR51" s="104"/>
      <c r="AS51" s="93" t="e">
        <f>#REF!</f>
        <v>#REF!</v>
      </c>
    </row>
    <row r="52" spans="1:45" s="85" customFormat="1" ht="51">
      <c r="A52" s="79"/>
      <c r="B52" s="159" t="e">
        <f>IF(D52="","",#REF!)</f>
        <v>#REF!</v>
      </c>
      <c r="C52" s="160"/>
      <c r="D52" s="88" t="s">
        <v>326</v>
      </c>
      <c r="E52" s="115"/>
      <c r="F52" s="116"/>
      <c r="G52" s="117"/>
      <c r="H52" s="137"/>
      <c r="I52" s="118" t="s">
        <v>219</v>
      </c>
      <c r="J52" s="118" t="s">
        <v>273</v>
      </c>
      <c r="K52" s="165"/>
      <c r="L52" s="166"/>
      <c r="M52" s="155" t="s">
        <v>344</v>
      </c>
      <c r="N52" s="124" t="s">
        <v>353</v>
      </c>
      <c r="O52" s="90">
        <v>44327</v>
      </c>
      <c r="P52" s="90">
        <v>44327</v>
      </c>
      <c r="Q52" s="124"/>
      <c r="R52" s="90"/>
      <c r="S52" s="90"/>
      <c r="T52" s="171"/>
      <c r="U52" s="172"/>
      <c r="V52" s="172"/>
      <c r="W52" s="128"/>
      <c r="X52" s="89"/>
      <c r="Y52" s="118"/>
      <c r="Z52" s="91"/>
      <c r="AA52" s="92"/>
      <c r="AB52" s="104"/>
      <c r="AC52" s="130"/>
      <c r="AD52" s="131"/>
      <c r="AE52" s="132"/>
      <c r="AF52" s="133"/>
      <c r="AG52" s="133"/>
      <c r="AH52" s="133"/>
      <c r="AI52" s="133"/>
      <c r="AJ52" s="133"/>
      <c r="AK52" s="133"/>
      <c r="AL52" s="133"/>
      <c r="AM52" s="133"/>
      <c r="AN52" s="133"/>
      <c r="AO52" s="133"/>
      <c r="AP52" s="133"/>
      <c r="AQ52" s="133"/>
      <c r="AR52" s="104"/>
      <c r="AS52" s="93" t="e">
        <f>#REF!</f>
        <v>#REF!</v>
      </c>
    </row>
    <row r="53" spans="1:45" s="85" customFormat="1" ht="51">
      <c r="A53" s="79"/>
      <c r="B53" s="159" t="e">
        <f>IF(D53="","",#REF!)</f>
        <v>#REF!</v>
      </c>
      <c r="C53" s="160"/>
      <c r="D53" s="88" t="s">
        <v>327</v>
      </c>
      <c r="E53" s="115"/>
      <c r="F53" s="116"/>
      <c r="G53" s="117"/>
      <c r="H53" s="137"/>
      <c r="I53" s="118" t="s">
        <v>220</v>
      </c>
      <c r="J53" s="118" t="s">
        <v>274</v>
      </c>
      <c r="K53" s="165"/>
      <c r="L53" s="166"/>
      <c r="M53" s="155" t="s">
        <v>344</v>
      </c>
      <c r="N53" s="124" t="s">
        <v>353</v>
      </c>
      <c r="O53" s="90">
        <v>44327</v>
      </c>
      <c r="P53" s="90">
        <v>44327</v>
      </c>
      <c r="Q53" s="124"/>
      <c r="R53" s="90"/>
      <c r="S53" s="90"/>
      <c r="T53" s="171"/>
      <c r="U53" s="172"/>
      <c r="V53" s="172"/>
      <c r="W53" s="128"/>
      <c r="X53" s="89"/>
      <c r="Y53" s="118"/>
      <c r="Z53" s="91"/>
      <c r="AA53" s="92"/>
      <c r="AB53" s="104"/>
      <c r="AC53" s="130"/>
      <c r="AD53" s="131"/>
      <c r="AE53" s="132"/>
      <c r="AF53" s="133"/>
      <c r="AG53" s="133"/>
      <c r="AH53" s="133"/>
      <c r="AI53" s="133"/>
      <c r="AJ53" s="133"/>
      <c r="AK53" s="133"/>
      <c r="AL53" s="133"/>
      <c r="AM53" s="133"/>
      <c r="AN53" s="133"/>
      <c r="AO53" s="133"/>
      <c r="AP53" s="133"/>
      <c r="AQ53" s="133"/>
      <c r="AR53" s="104"/>
      <c r="AS53" s="93" t="e">
        <f>#REF!</f>
        <v>#REF!</v>
      </c>
    </row>
    <row r="54" spans="1:45" s="85" customFormat="1" ht="34">
      <c r="A54" s="79"/>
      <c r="B54" s="159" t="e">
        <f>IF(D54="","",#REF!)</f>
        <v>#REF!</v>
      </c>
      <c r="C54" s="160"/>
      <c r="D54" s="88" t="s">
        <v>328</v>
      </c>
      <c r="E54" s="115"/>
      <c r="F54" s="116"/>
      <c r="G54" s="117"/>
      <c r="H54" s="137"/>
      <c r="I54" s="118" t="s">
        <v>221</v>
      </c>
      <c r="J54" s="118" t="s">
        <v>275</v>
      </c>
      <c r="K54" s="165"/>
      <c r="L54" s="166"/>
      <c r="M54" s="155" t="s">
        <v>344</v>
      </c>
      <c r="N54" s="124" t="s">
        <v>353</v>
      </c>
      <c r="O54" s="90">
        <v>44327</v>
      </c>
      <c r="P54" s="90">
        <v>44327</v>
      </c>
      <c r="Q54" s="124"/>
      <c r="R54" s="90"/>
      <c r="S54" s="90"/>
      <c r="T54" s="171"/>
      <c r="U54" s="172"/>
      <c r="V54" s="172"/>
      <c r="W54" s="128"/>
      <c r="X54" s="89"/>
      <c r="Y54" s="118"/>
      <c r="Z54" s="91"/>
      <c r="AA54" s="92"/>
      <c r="AB54" s="104"/>
      <c r="AC54" s="130"/>
      <c r="AD54" s="131"/>
      <c r="AE54" s="132"/>
      <c r="AF54" s="133"/>
      <c r="AG54" s="133"/>
      <c r="AH54" s="133"/>
      <c r="AI54" s="133"/>
      <c r="AJ54" s="133"/>
      <c r="AK54" s="133"/>
      <c r="AL54" s="133"/>
      <c r="AM54" s="133"/>
      <c r="AN54" s="133"/>
      <c r="AO54" s="133"/>
      <c r="AP54" s="133"/>
      <c r="AQ54" s="133"/>
      <c r="AR54" s="104"/>
      <c r="AS54" s="93" t="e">
        <f>#REF!</f>
        <v>#REF!</v>
      </c>
    </row>
    <row r="55" spans="1:45" s="85" customFormat="1" ht="51">
      <c r="A55" s="79"/>
      <c r="B55" s="159" t="e">
        <f>IF(D55="","",#REF!)</f>
        <v>#REF!</v>
      </c>
      <c r="C55" s="160"/>
      <c r="D55" s="88" t="s">
        <v>329</v>
      </c>
      <c r="E55" s="115"/>
      <c r="F55" s="116"/>
      <c r="G55" s="117"/>
      <c r="H55" s="137"/>
      <c r="I55" s="118" t="s">
        <v>222</v>
      </c>
      <c r="J55" s="118" t="s">
        <v>275</v>
      </c>
      <c r="K55" s="165"/>
      <c r="L55" s="166"/>
      <c r="M55" s="155" t="s">
        <v>344</v>
      </c>
      <c r="N55" s="124" t="s">
        <v>353</v>
      </c>
      <c r="O55" s="90">
        <v>44327</v>
      </c>
      <c r="P55" s="90">
        <v>44327</v>
      </c>
      <c r="Q55" s="124"/>
      <c r="R55" s="90"/>
      <c r="S55" s="90"/>
      <c r="T55" s="171"/>
      <c r="U55" s="172"/>
      <c r="V55" s="172"/>
      <c r="W55" s="128"/>
      <c r="X55" s="89"/>
      <c r="Y55" s="118"/>
      <c r="Z55" s="91"/>
      <c r="AA55" s="92"/>
      <c r="AB55" s="104"/>
      <c r="AC55" s="130"/>
      <c r="AD55" s="131"/>
      <c r="AE55" s="132"/>
      <c r="AF55" s="133"/>
      <c r="AG55" s="133"/>
      <c r="AH55" s="133"/>
      <c r="AI55" s="133"/>
      <c r="AJ55" s="133"/>
      <c r="AK55" s="133"/>
      <c r="AL55" s="133"/>
      <c r="AM55" s="133"/>
      <c r="AN55" s="133"/>
      <c r="AO55" s="133"/>
      <c r="AP55" s="133"/>
      <c r="AQ55" s="133"/>
      <c r="AR55" s="104"/>
      <c r="AS55" s="93" t="e">
        <f>#REF!</f>
        <v>#REF!</v>
      </c>
    </row>
    <row r="56" spans="1:45" s="85" customFormat="1" ht="34">
      <c r="A56" s="79"/>
      <c r="B56" s="159" t="e">
        <f>IF(D56="","",#REF!)</f>
        <v>#REF!</v>
      </c>
      <c r="C56" s="160"/>
      <c r="D56" s="88" t="s">
        <v>330</v>
      </c>
      <c r="E56" s="115"/>
      <c r="F56" s="116"/>
      <c r="G56" s="117"/>
      <c r="H56" s="137"/>
      <c r="I56" s="118" t="s">
        <v>223</v>
      </c>
      <c r="J56" s="118" t="s">
        <v>276</v>
      </c>
      <c r="K56" s="165"/>
      <c r="L56" s="166"/>
      <c r="M56" s="155" t="s">
        <v>344</v>
      </c>
      <c r="N56" s="124" t="s">
        <v>353</v>
      </c>
      <c r="O56" s="90">
        <v>44327</v>
      </c>
      <c r="P56" s="90">
        <v>44327</v>
      </c>
      <c r="Q56" s="124"/>
      <c r="R56" s="90"/>
      <c r="S56" s="90"/>
      <c r="T56" s="171"/>
      <c r="U56" s="172"/>
      <c r="V56" s="172"/>
      <c r="W56" s="128"/>
      <c r="X56" s="89"/>
      <c r="Y56" s="118"/>
      <c r="Z56" s="91"/>
      <c r="AA56" s="92"/>
      <c r="AB56" s="104"/>
      <c r="AC56" s="130"/>
      <c r="AD56" s="131"/>
      <c r="AE56" s="132"/>
      <c r="AF56" s="133"/>
      <c r="AG56" s="133"/>
      <c r="AH56" s="133"/>
      <c r="AI56" s="133"/>
      <c r="AJ56" s="133"/>
      <c r="AK56" s="133"/>
      <c r="AL56" s="133"/>
      <c r="AM56" s="133"/>
      <c r="AN56" s="133"/>
      <c r="AO56" s="133"/>
      <c r="AP56" s="133"/>
      <c r="AQ56" s="133"/>
      <c r="AR56" s="104"/>
      <c r="AS56" s="93" t="e">
        <f>#REF!</f>
        <v>#REF!</v>
      </c>
    </row>
    <row r="57" spans="1:45" s="85" customFormat="1" ht="34">
      <c r="A57" s="79"/>
      <c r="B57" s="159" t="e">
        <f>IF(D57="","",#REF!)</f>
        <v>#REF!</v>
      </c>
      <c r="C57" s="160"/>
      <c r="D57" s="88" t="s">
        <v>331</v>
      </c>
      <c r="E57" s="115"/>
      <c r="F57" s="116"/>
      <c r="G57" s="117"/>
      <c r="H57" s="137"/>
      <c r="I57" s="118" t="s">
        <v>224</v>
      </c>
      <c r="J57" s="118" t="s">
        <v>277</v>
      </c>
      <c r="K57" s="165"/>
      <c r="L57" s="166"/>
      <c r="M57" s="155" t="s">
        <v>344</v>
      </c>
      <c r="N57" s="124" t="s">
        <v>353</v>
      </c>
      <c r="O57" s="90">
        <v>44327</v>
      </c>
      <c r="P57" s="90">
        <v>44327</v>
      </c>
      <c r="Q57" s="124"/>
      <c r="R57" s="90"/>
      <c r="S57" s="90"/>
      <c r="T57" s="171"/>
      <c r="U57" s="172"/>
      <c r="V57" s="172"/>
      <c r="W57" s="128"/>
      <c r="X57" s="89"/>
      <c r="Y57" s="118"/>
      <c r="Z57" s="91"/>
      <c r="AA57" s="92"/>
      <c r="AB57" s="104"/>
      <c r="AC57" s="130"/>
      <c r="AD57" s="131"/>
      <c r="AE57" s="132"/>
      <c r="AF57" s="133"/>
      <c r="AG57" s="133"/>
      <c r="AH57" s="133"/>
      <c r="AI57" s="133"/>
      <c r="AJ57" s="133"/>
      <c r="AK57" s="133"/>
      <c r="AL57" s="133"/>
      <c r="AM57" s="133"/>
      <c r="AN57" s="133"/>
      <c r="AO57" s="133"/>
      <c r="AP57" s="133"/>
      <c r="AQ57" s="133"/>
      <c r="AR57" s="104"/>
      <c r="AS57" s="93" t="e">
        <f>#REF!</f>
        <v>#REF!</v>
      </c>
    </row>
    <row r="58" spans="1:45" s="85" customFormat="1" ht="51">
      <c r="A58" s="79"/>
      <c r="B58" s="159" t="e">
        <f>IF(D58="","",#REF!)</f>
        <v>#REF!</v>
      </c>
      <c r="C58" s="160"/>
      <c r="D58" s="88" t="s">
        <v>332</v>
      </c>
      <c r="E58" s="115"/>
      <c r="F58" s="116"/>
      <c r="G58" s="117"/>
      <c r="H58" s="137"/>
      <c r="I58" s="118" t="s">
        <v>225</v>
      </c>
      <c r="J58" s="118" t="s">
        <v>278</v>
      </c>
      <c r="K58" s="165"/>
      <c r="L58" s="166"/>
      <c r="M58" s="155" t="s">
        <v>344</v>
      </c>
      <c r="N58" s="124" t="s">
        <v>353</v>
      </c>
      <c r="O58" s="90">
        <v>44327</v>
      </c>
      <c r="P58" s="90">
        <v>44327</v>
      </c>
      <c r="Q58" s="124"/>
      <c r="R58" s="90"/>
      <c r="S58" s="90"/>
      <c r="T58" s="171"/>
      <c r="U58" s="172"/>
      <c r="V58" s="172"/>
      <c r="W58" s="128"/>
      <c r="X58" s="89"/>
      <c r="Y58" s="118"/>
      <c r="Z58" s="91"/>
      <c r="AA58" s="92"/>
      <c r="AB58" s="104"/>
      <c r="AC58" s="130"/>
      <c r="AD58" s="131"/>
      <c r="AE58" s="132"/>
      <c r="AF58" s="133"/>
      <c r="AG58" s="133"/>
      <c r="AH58" s="133"/>
      <c r="AI58" s="133"/>
      <c r="AJ58" s="133"/>
      <c r="AK58" s="133"/>
      <c r="AL58" s="133"/>
      <c r="AM58" s="133"/>
      <c r="AN58" s="133"/>
      <c r="AO58" s="133"/>
      <c r="AP58" s="133"/>
      <c r="AQ58" s="133"/>
      <c r="AR58" s="104"/>
      <c r="AS58" s="93" t="e">
        <f>#REF!</f>
        <v>#REF!</v>
      </c>
    </row>
    <row r="59" spans="1:45" s="85" customFormat="1" ht="51">
      <c r="A59" s="79"/>
      <c r="B59" s="159" t="e">
        <f>IF(D59="","",#REF!)</f>
        <v>#REF!</v>
      </c>
      <c r="C59" s="160"/>
      <c r="D59" s="88" t="s">
        <v>333</v>
      </c>
      <c r="E59" s="115"/>
      <c r="F59" s="116"/>
      <c r="G59" s="117"/>
      <c r="H59" s="137"/>
      <c r="I59" s="118" t="s">
        <v>226</v>
      </c>
      <c r="J59" s="118" t="s">
        <v>279</v>
      </c>
      <c r="K59" s="165"/>
      <c r="L59" s="166"/>
      <c r="M59" s="155" t="s">
        <v>344</v>
      </c>
      <c r="N59" s="124" t="s">
        <v>353</v>
      </c>
      <c r="O59" s="90">
        <v>44327</v>
      </c>
      <c r="P59" s="90">
        <v>44327</v>
      </c>
      <c r="Q59" s="124"/>
      <c r="R59" s="90"/>
      <c r="S59" s="90"/>
      <c r="T59" s="171"/>
      <c r="U59" s="172"/>
      <c r="V59" s="172"/>
      <c r="W59" s="128"/>
      <c r="X59" s="89"/>
      <c r="Y59" s="118"/>
      <c r="Z59" s="91"/>
      <c r="AA59" s="92"/>
      <c r="AB59" s="104"/>
      <c r="AC59" s="130"/>
      <c r="AD59" s="131"/>
      <c r="AE59" s="132"/>
      <c r="AF59" s="133"/>
      <c r="AG59" s="133"/>
      <c r="AH59" s="133"/>
      <c r="AI59" s="133"/>
      <c r="AJ59" s="133"/>
      <c r="AK59" s="133"/>
      <c r="AL59" s="133"/>
      <c r="AM59" s="133"/>
      <c r="AN59" s="133"/>
      <c r="AO59" s="133"/>
      <c r="AP59" s="133"/>
      <c r="AQ59" s="133"/>
      <c r="AR59" s="104"/>
      <c r="AS59" s="93" t="e">
        <f>#REF!</f>
        <v>#REF!</v>
      </c>
    </row>
    <row r="60" spans="1:45" s="85" customFormat="1" ht="34">
      <c r="A60" s="79"/>
      <c r="B60" s="159" t="e">
        <f>IF(D60="","",#REF!)</f>
        <v>#REF!</v>
      </c>
      <c r="C60" s="160"/>
      <c r="D60" s="88" t="s">
        <v>334</v>
      </c>
      <c r="E60" s="115"/>
      <c r="F60" s="116"/>
      <c r="G60" s="117"/>
      <c r="H60" s="137"/>
      <c r="I60" s="118" t="s">
        <v>227</v>
      </c>
      <c r="J60" s="118" t="s">
        <v>280</v>
      </c>
      <c r="K60" s="165"/>
      <c r="L60" s="166"/>
      <c r="M60" s="155" t="s">
        <v>344</v>
      </c>
      <c r="N60" s="124" t="s">
        <v>353</v>
      </c>
      <c r="O60" s="90">
        <v>44327</v>
      </c>
      <c r="P60" s="90">
        <v>44327</v>
      </c>
      <c r="Q60" s="124"/>
      <c r="R60" s="90"/>
      <c r="S60" s="90"/>
      <c r="T60" s="171"/>
      <c r="U60" s="172"/>
      <c r="V60" s="172"/>
      <c r="W60" s="128"/>
      <c r="X60" s="89"/>
      <c r="Y60" s="118"/>
      <c r="Z60" s="91"/>
      <c r="AA60" s="92"/>
      <c r="AB60" s="104"/>
      <c r="AC60" s="130"/>
      <c r="AD60" s="131"/>
      <c r="AE60" s="132"/>
      <c r="AF60" s="133"/>
      <c r="AG60" s="133"/>
      <c r="AH60" s="133"/>
      <c r="AI60" s="133"/>
      <c r="AJ60" s="133"/>
      <c r="AK60" s="133"/>
      <c r="AL60" s="133"/>
      <c r="AM60" s="133"/>
      <c r="AN60" s="133"/>
      <c r="AO60" s="133"/>
      <c r="AP60" s="133"/>
      <c r="AQ60" s="133"/>
      <c r="AR60" s="104"/>
      <c r="AS60" s="93" t="e">
        <f>#REF!</f>
        <v>#REF!</v>
      </c>
    </row>
    <row r="61" spans="1:45" s="85" customFormat="1">
      <c r="A61" s="79"/>
      <c r="B61" s="159" t="e">
        <f>IF(D61="","",#REF!)</f>
        <v>#REF!</v>
      </c>
      <c r="C61" s="160"/>
      <c r="D61" s="88" t="s">
        <v>335</v>
      </c>
      <c r="E61" s="115"/>
      <c r="F61" s="116"/>
      <c r="G61" s="117"/>
      <c r="H61" s="137"/>
      <c r="I61" s="118" t="s">
        <v>228</v>
      </c>
      <c r="J61" s="118" t="s">
        <v>281</v>
      </c>
      <c r="K61" s="165"/>
      <c r="L61" s="166"/>
      <c r="M61" s="155" t="s">
        <v>344</v>
      </c>
      <c r="N61" s="124" t="s">
        <v>353</v>
      </c>
      <c r="O61" s="90">
        <v>44327</v>
      </c>
      <c r="P61" s="90">
        <v>44327</v>
      </c>
      <c r="Q61" s="124"/>
      <c r="R61" s="90"/>
      <c r="S61" s="90"/>
      <c r="T61" s="171"/>
      <c r="U61" s="172"/>
      <c r="V61" s="172"/>
      <c r="W61" s="128"/>
      <c r="X61" s="89"/>
      <c r="Y61" s="118"/>
      <c r="Z61" s="91"/>
      <c r="AA61" s="92"/>
      <c r="AB61" s="104"/>
      <c r="AC61" s="130"/>
      <c r="AD61" s="131"/>
      <c r="AE61" s="132"/>
      <c r="AF61" s="133"/>
      <c r="AG61" s="133"/>
      <c r="AH61" s="133"/>
      <c r="AI61" s="133"/>
      <c r="AJ61" s="133"/>
      <c r="AK61" s="133"/>
      <c r="AL61" s="133"/>
      <c r="AM61" s="133"/>
      <c r="AN61" s="133"/>
      <c r="AO61" s="133"/>
      <c r="AP61" s="133"/>
      <c r="AQ61" s="133"/>
      <c r="AR61" s="104"/>
      <c r="AS61" s="93" t="e">
        <f>#REF!</f>
        <v>#REF!</v>
      </c>
    </row>
    <row r="62" spans="1:45" s="85" customFormat="1">
      <c r="A62" s="79"/>
      <c r="B62" s="159" t="e">
        <f>IF(D62="","",#REF!)</f>
        <v>#REF!</v>
      </c>
      <c r="C62" s="160"/>
      <c r="D62" s="88" t="s">
        <v>336</v>
      </c>
      <c r="E62" s="115"/>
      <c r="F62" s="116"/>
      <c r="G62" s="117"/>
      <c r="H62" s="137"/>
      <c r="I62" s="118" t="s">
        <v>229</v>
      </c>
      <c r="J62" s="118" t="s">
        <v>281</v>
      </c>
      <c r="K62" s="165"/>
      <c r="L62" s="166"/>
      <c r="M62" s="155" t="s">
        <v>344</v>
      </c>
      <c r="N62" s="124" t="s">
        <v>353</v>
      </c>
      <c r="O62" s="90">
        <v>44327</v>
      </c>
      <c r="P62" s="90">
        <v>44327</v>
      </c>
      <c r="Q62" s="124"/>
      <c r="R62" s="90"/>
      <c r="S62" s="90"/>
      <c r="T62" s="171"/>
      <c r="U62" s="172"/>
      <c r="V62" s="172"/>
      <c r="W62" s="128"/>
      <c r="X62" s="89"/>
      <c r="Y62" s="118"/>
      <c r="Z62" s="91"/>
      <c r="AA62" s="92"/>
      <c r="AB62" s="104"/>
      <c r="AC62" s="130"/>
      <c r="AD62" s="131"/>
      <c r="AE62" s="132"/>
      <c r="AF62" s="133"/>
      <c r="AG62" s="133"/>
      <c r="AH62" s="133"/>
      <c r="AI62" s="133"/>
      <c r="AJ62" s="133"/>
      <c r="AK62" s="133"/>
      <c r="AL62" s="133"/>
      <c r="AM62" s="133"/>
      <c r="AN62" s="133"/>
      <c r="AO62" s="133"/>
      <c r="AP62" s="133"/>
      <c r="AQ62" s="133"/>
      <c r="AR62" s="104"/>
      <c r="AS62" s="93" t="e">
        <f>#REF!</f>
        <v>#REF!</v>
      </c>
    </row>
    <row r="63" spans="1:45" s="85" customFormat="1">
      <c r="A63" s="79"/>
      <c r="B63" s="159" t="e">
        <f>IF(D63="","",#REF!)</f>
        <v>#REF!</v>
      </c>
      <c r="C63" s="160"/>
      <c r="D63" s="88" t="s">
        <v>337</v>
      </c>
      <c r="E63" s="115"/>
      <c r="F63" s="116"/>
      <c r="G63" s="117"/>
      <c r="H63" s="137"/>
      <c r="I63" s="118" t="s">
        <v>189</v>
      </c>
      <c r="J63" s="118" t="s">
        <v>282</v>
      </c>
      <c r="K63" s="165"/>
      <c r="L63" s="166"/>
      <c r="M63" s="155" t="s">
        <v>344</v>
      </c>
      <c r="N63" s="124" t="s">
        <v>353</v>
      </c>
      <c r="O63" s="90">
        <v>44327</v>
      </c>
      <c r="P63" s="90">
        <v>44327</v>
      </c>
      <c r="Q63" s="124"/>
      <c r="R63" s="90"/>
      <c r="S63" s="90"/>
      <c r="T63" s="171"/>
      <c r="U63" s="172"/>
      <c r="V63" s="172"/>
      <c r="W63" s="128"/>
      <c r="X63" s="89"/>
      <c r="Y63" s="118"/>
      <c r="Z63" s="91"/>
      <c r="AA63" s="92"/>
      <c r="AB63" s="104"/>
      <c r="AC63" s="130"/>
      <c r="AD63" s="131"/>
      <c r="AE63" s="132"/>
      <c r="AF63" s="133"/>
      <c r="AG63" s="133"/>
      <c r="AH63" s="133"/>
      <c r="AI63" s="133"/>
      <c r="AJ63" s="133"/>
      <c r="AK63" s="133"/>
      <c r="AL63" s="133"/>
      <c r="AM63" s="133"/>
      <c r="AN63" s="133"/>
      <c r="AO63" s="133"/>
      <c r="AP63" s="133"/>
      <c r="AQ63" s="133"/>
      <c r="AR63" s="104"/>
      <c r="AS63" s="93" t="e">
        <f>#REF!</f>
        <v>#REF!</v>
      </c>
    </row>
    <row r="64" spans="1:45" s="85" customFormat="1">
      <c r="A64" s="79"/>
      <c r="B64" s="159" t="e">
        <f>IF(D64="","",#REF!)</f>
        <v>#REF!</v>
      </c>
      <c r="C64" s="160"/>
      <c r="D64" s="88" t="s">
        <v>338</v>
      </c>
      <c r="E64" s="115"/>
      <c r="F64" s="116"/>
      <c r="G64" s="117"/>
      <c r="H64" s="137"/>
      <c r="I64" s="118" t="s">
        <v>190</v>
      </c>
      <c r="J64" s="118" t="s">
        <v>283</v>
      </c>
      <c r="K64" s="165"/>
      <c r="L64" s="166"/>
      <c r="M64" s="155" t="s">
        <v>344</v>
      </c>
      <c r="N64" s="124" t="s">
        <v>353</v>
      </c>
      <c r="O64" s="90">
        <v>44327</v>
      </c>
      <c r="P64" s="90">
        <v>44327</v>
      </c>
      <c r="Q64" s="124"/>
      <c r="R64" s="90"/>
      <c r="S64" s="90"/>
      <c r="T64" s="171"/>
      <c r="U64" s="172"/>
      <c r="V64" s="172"/>
      <c r="W64" s="128"/>
      <c r="X64" s="89"/>
      <c r="Y64" s="118"/>
      <c r="Z64" s="91"/>
      <c r="AA64" s="92"/>
      <c r="AB64" s="104"/>
      <c r="AC64" s="130"/>
      <c r="AD64" s="131"/>
      <c r="AE64" s="132"/>
      <c r="AF64" s="133"/>
      <c r="AG64" s="133"/>
      <c r="AH64" s="133"/>
      <c r="AI64" s="133"/>
      <c r="AJ64" s="133"/>
      <c r="AK64" s="133"/>
      <c r="AL64" s="133"/>
      <c r="AM64" s="133"/>
      <c r="AN64" s="133"/>
      <c r="AO64" s="133"/>
      <c r="AP64" s="133"/>
      <c r="AQ64" s="133"/>
      <c r="AR64" s="104"/>
      <c r="AS64" s="93" t="e">
        <f>#REF!</f>
        <v>#REF!</v>
      </c>
    </row>
    <row r="65" spans="1:45" s="85" customFormat="1">
      <c r="A65" s="79"/>
      <c r="B65" s="159" t="e">
        <f>IF(D65="","",#REF!)</f>
        <v>#REF!</v>
      </c>
      <c r="C65" s="160"/>
      <c r="D65" s="88" t="s">
        <v>339</v>
      </c>
      <c r="E65" s="115"/>
      <c r="F65" s="116"/>
      <c r="G65" s="117"/>
      <c r="H65" s="137"/>
      <c r="I65" s="118" t="s">
        <v>230</v>
      </c>
      <c r="J65" s="118" t="s">
        <v>284</v>
      </c>
      <c r="K65" s="165"/>
      <c r="L65" s="166"/>
      <c r="M65" s="155" t="s">
        <v>344</v>
      </c>
      <c r="N65" s="124" t="s">
        <v>353</v>
      </c>
      <c r="O65" s="90">
        <v>44327</v>
      </c>
      <c r="P65" s="90">
        <v>44327</v>
      </c>
      <c r="Q65" s="124"/>
      <c r="R65" s="90"/>
      <c r="S65" s="90"/>
      <c r="T65" s="171"/>
      <c r="U65" s="172"/>
      <c r="V65" s="172"/>
      <c r="W65" s="128"/>
      <c r="X65" s="89"/>
      <c r="Y65" s="118"/>
      <c r="Z65" s="91"/>
      <c r="AA65" s="92"/>
      <c r="AB65" s="104"/>
      <c r="AC65" s="130"/>
      <c r="AD65" s="131"/>
      <c r="AE65" s="132"/>
      <c r="AF65" s="133"/>
      <c r="AG65" s="133"/>
      <c r="AH65" s="133"/>
      <c r="AI65" s="133"/>
      <c r="AJ65" s="133"/>
      <c r="AK65" s="133"/>
      <c r="AL65" s="133"/>
      <c r="AM65" s="133"/>
      <c r="AN65" s="133"/>
      <c r="AO65" s="133"/>
      <c r="AP65" s="133"/>
      <c r="AQ65" s="133"/>
      <c r="AR65" s="104"/>
      <c r="AS65" s="93" t="e">
        <f>#REF!</f>
        <v>#REF!</v>
      </c>
    </row>
    <row r="66" spans="1:45" s="85" customFormat="1" ht="34">
      <c r="A66" s="79"/>
      <c r="B66" s="159" t="e">
        <f>IF(D66="","",#REF!)</f>
        <v>#REF!</v>
      </c>
      <c r="C66" s="160"/>
      <c r="D66" s="88" t="s">
        <v>340</v>
      </c>
      <c r="E66" s="115"/>
      <c r="F66" s="116"/>
      <c r="G66" s="117"/>
      <c r="H66" s="137"/>
      <c r="I66" s="118" t="s">
        <v>231</v>
      </c>
      <c r="J66" s="118" t="s">
        <v>285</v>
      </c>
      <c r="K66" s="165"/>
      <c r="L66" s="166"/>
      <c r="M66" s="155" t="s">
        <v>344</v>
      </c>
      <c r="N66" s="124" t="s">
        <v>353</v>
      </c>
      <c r="O66" s="90">
        <v>44327</v>
      </c>
      <c r="P66" s="90">
        <v>44327</v>
      </c>
      <c r="Q66" s="124"/>
      <c r="R66" s="90"/>
      <c r="S66" s="90"/>
      <c r="T66" s="171"/>
      <c r="U66" s="172"/>
      <c r="V66" s="172"/>
      <c r="W66" s="128"/>
      <c r="X66" s="89"/>
      <c r="Y66" s="118"/>
      <c r="Z66" s="91"/>
      <c r="AA66" s="92"/>
      <c r="AB66" s="104"/>
      <c r="AC66" s="130"/>
      <c r="AD66" s="131"/>
      <c r="AE66" s="132"/>
      <c r="AF66" s="133"/>
      <c r="AG66" s="133"/>
      <c r="AH66" s="133"/>
      <c r="AI66" s="133"/>
      <c r="AJ66" s="133"/>
      <c r="AK66" s="133"/>
      <c r="AL66" s="133"/>
      <c r="AM66" s="133"/>
      <c r="AN66" s="133"/>
      <c r="AO66" s="133"/>
      <c r="AP66" s="133"/>
      <c r="AQ66" s="133"/>
      <c r="AR66" s="104"/>
      <c r="AS66" s="93" t="e">
        <f>#REF!</f>
        <v>#REF!</v>
      </c>
    </row>
    <row r="67" spans="1:45" s="85" customFormat="1">
      <c r="A67" s="79"/>
      <c r="B67" s="159" t="e">
        <f>IF(D67="","",#REF!)</f>
        <v>#REF!</v>
      </c>
      <c r="C67" s="160"/>
      <c r="D67" s="88" t="s">
        <v>341</v>
      </c>
      <c r="E67" s="115"/>
      <c r="F67" s="116"/>
      <c r="G67" s="117"/>
      <c r="H67" s="137"/>
      <c r="I67" s="118" t="s">
        <v>198</v>
      </c>
      <c r="J67" s="118" t="s">
        <v>286</v>
      </c>
      <c r="K67" s="165"/>
      <c r="L67" s="166"/>
      <c r="M67" s="155" t="s">
        <v>344</v>
      </c>
      <c r="N67" s="124" t="s">
        <v>353</v>
      </c>
      <c r="O67" s="90">
        <v>44327</v>
      </c>
      <c r="P67" s="90">
        <v>44327</v>
      </c>
      <c r="Q67" s="124"/>
      <c r="R67" s="90"/>
      <c r="S67" s="90"/>
      <c r="T67" s="171"/>
      <c r="U67" s="172"/>
      <c r="V67" s="172"/>
      <c r="W67" s="128"/>
      <c r="X67" s="89"/>
      <c r="Y67" s="118"/>
      <c r="Z67" s="91"/>
      <c r="AA67" s="92"/>
      <c r="AB67" s="104"/>
      <c r="AC67" s="130"/>
      <c r="AD67" s="131"/>
      <c r="AE67" s="132"/>
      <c r="AF67" s="133"/>
      <c r="AG67" s="133"/>
      <c r="AH67" s="133"/>
      <c r="AI67" s="133"/>
      <c r="AJ67" s="133"/>
      <c r="AK67" s="133"/>
      <c r="AL67" s="133"/>
      <c r="AM67" s="133"/>
      <c r="AN67" s="133"/>
      <c r="AO67" s="133"/>
      <c r="AP67" s="133"/>
      <c r="AQ67" s="133"/>
      <c r="AR67" s="104"/>
      <c r="AS67" s="93" t="e">
        <f>#REF!</f>
        <v>#REF!</v>
      </c>
    </row>
    <row r="68" spans="1:45" s="85" customFormat="1">
      <c r="A68" s="79"/>
      <c r="B68" s="159" t="e">
        <f>IF(D68="","",#REF!)</f>
        <v>#REF!</v>
      </c>
      <c r="C68" s="160"/>
      <c r="D68" s="88" t="s">
        <v>342</v>
      </c>
      <c r="E68" s="115"/>
      <c r="F68" s="116"/>
      <c r="G68" s="117"/>
      <c r="H68" s="137"/>
      <c r="I68" s="118" t="s">
        <v>232</v>
      </c>
      <c r="J68" s="118" t="s">
        <v>287</v>
      </c>
      <c r="K68" s="165"/>
      <c r="L68" s="166"/>
      <c r="M68" s="155" t="s">
        <v>344</v>
      </c>
      <c r="N68" s="124" t="s">
        <v>353</v>
      </c>
      <c r="O68" s="90">
        <v>44327</v>
      </c>
      <c r="P68" s="90">
        <v>44327</v>
      </c>
      <c r="Q68" s="124"/>
      <c r="R68" s="90"/>
      <c r="S68" s="90"/>
      <c r="T68" s="171"/>
      <c r="U68" s="172"/>
      <c r="V68" s="172"/>
      <c r="W68" s="128"/>
      <c r="X68" s="89"/>
      <c r="Y68" s="118"/>
      <c r="Z68" s="91"/>
      <c r="AA68" s="92"/>
      <c r="AB68" s="104"/>
      <c r="AC68" s="130"/>
      <c r="AD68" s="131"/>
      <c r="AE68" s="132"/>
      <c r="AF68" s="133"/>
      <c r="AG68" s="133"/>
      <c r="AH68" s="133"/>
      <c r="AI68" s="133"/>
      <c r="AJ68" s="133"/>
      <c r="AK68" s="133"/>
      <c r="AL68" s="133"/>
      <c r="AM68" s="133"/>
      <c r="AN68" s="133"/>
      <c r="AO68" s="133"/>
      <c r="AP68" s="133"/>
      <c r="AQ68" s="133"/>
      <c r="AR68" s="104"/>
      <c r="AS68" s="93" t="e">
        <f>#REF!</f>
        <v>#REF!</v>
      </c>
    </row>
    <row r="69" spans="1:45" s="85" customFormat="1" ht="51">
      <c r="A69" s="79"/>
      <c r="B69" s="159" t="e">
        <f>IF(D69="","",#REF!)</f>
        <v>#REF!</v>
      </c>
      <c r="C69" s="160"/>
      <c r="D69" s="88" t="s">
        <v>343</v>
      </c>
      <c r="E69" s="115"/>
      <c r="F69" s="116"/>
      <c r="G69" s="117"/>
      <c r="H69" s="137"/>
      <c r="I69" s="118" t="s">
        <v>233</v>
      </c>
      <c r="J69" s="118" t="s">
        <v>288</v>
      </c>
      <c r="K69" s="165"/>
      <c r="L69" s="166"/>
      <c r="M69" s="155" t="s">
        <v>344</v>
      </c>
      <c r="N69" s="124" t="s">
        <v>353</v>
      </c>
      <c r="O69" s="90">
        <v>44327</v>
      </c>
      <c r="P69" s="90">
        <v>44327</v>
      </c>
      <c r="Q69" s="124"/>
      <c r="R69" s="90"/>
      <c r="S69" s="90"/>
      <c r="T69" s="171"/>
      <c r="U69" s="172"/>
      <c r="V69" s="172"/>
      <c r="W69" s="128"/>
      <c r="X69" s="89"/>
      <c r="Y69" s="118"/>
      <c r="Z69" s="91"/>
      <c r="AA69" s="92"/>
      <c r="AB69" s="104"/>
      <c r="AC69" s="130"/>
      <c r="AD69" s="131"/>
      <c r="AE69" s="132"/>
      <c r="AF69" s="133"/>
      <c r="AG69" s="133"/>
      <c r="AH69" s="133"/>
      <c r="AI69" s="133"/>
      <c r="AJ69" s="133"/>
      <c r="AK69" s="133"/>
      <c r="AL69" s="133"/>
      <c r="AM69" s="133"/>
      <c r="AN69" s="133"/>
      <c r="AO69" s="133"/>
      <c r="AP69" s="133"/>
      <c r="AQ69" s="133"/>
      <c r="AR69" s="104"/>
      <c r="AS69" s="93" t="e">
        <f>#REF!</f>
        <v>#REF!</v>
      </c>
    </row>
    <row r="70" spans="1:45" s="85" customFormat="1">
      <c r="A70" s="79"/>
      <c r="B70" s="159" t="str">
        <f>IF(D70="","",#REF!)</f>
        <v/>
      </c>
      <c r="C70" s="160"/>
      <c r="D70" s="88"/>
      <c r="E70" s="115"/>
      <c r="F70" s="116"/>
      <c r="G70" s="117"/>
      <c r="H70" s="137"/>
      <c r="I70" s="118"/>
      <c r="J70" s="118"/>
      <c r="K70" s="165"/>
      <c r="L70" s="166"/>
      <c r="M70" s="155"/>
      <c r="N70" s="124"/>
      <c r="O70" s="90"/>
      <c r="P70" s="90"/>
      <c r="Q70" s="124"/>
      <c r="R70" s="90"/>
      <c r="S70" s="90"/>
      <c r="T70" s="171"/>
      <c r="U70" s="172"/>
      <c r="V70" s="172"/>
      <c r="W70" s="128"/>
      <c r="X70" s="89"/>
      <c r="Y70" s="118"/>
      <c r="Z70" s="91"/>
      <c r="AA70" s="92"/>
      <c r="AB70" s="104"/>
      <c r="AC70" s="130"/>
      <c r="AD70" s="131"/>
      <c r="AE70" s="132"/>
      <c r="AF70" s="133"/>
      <c r="AG70" s="133"/>
      <c r="AH70" s="133"/>
      <c r="AI70" s="133"/>
      <c r="AJ70" s="133"/>
      <c r="AK70" s="133"/>
      <c r="AL70" s="133"/>
      <c r="AM70" s="133"/>
      <c r="AN70" s="133"/>
      <c r="AO70" s="133"/>
      <c r="AP70" s="133"/>
      <c r="AQ70" s="133"/>
      <c r="AR70" s="104"/>
      <c r="AS70" s="93" t="e">
        <f>#REF!</f>
        <v>#REF!</v>
      </c>
    </row>
    <row r="71" spans="1:45" s="85" customFormat="1">
      <c r="A71" s="79"/>
      <c r="B71" s="159" t="str">
        <f>IF(D71="","",#REF!)</f>
        <v/>
      </c>
      <c r="C71" s="160"/>
      <c r="D71" s="88"/>
      <c r="E71" s="115"/>
      <c r="F71" s="116"/>
      <c r="G71" s="117"/>
      <c r="H71" s="137"/>
      <c r="I71" s="118"/>
      <c r="J71" s="118"/>
      <c r="K71" s="165"/>
      <c r="L71" s="166"/>
      <c r="M71" s="155"/>
      <c r="N71" s="124"/>
      <c r="O71" s="90"/>
      <c r="P71" s="90"/>
      <c r="Q71" s="124"/>
      <c r="R71" s="90"/>
      <c r="S71" s="90"/>
      <c r="T71" s="171"/>
      <c r="U71" s="172"/>
      <c r="V71" s="172"/>
      <c r="W71" s="128"/>
      <c r="X71" s="89"/>
      <c r="Y71" s="118"/>
      <c r="Z71" s="91"/>
      <c r="AA71" s="92"/>
      <c r="AB71" s="104"/>
      <c r="AC71" s="130"/>
      <c r="AD71" s="131"/>
      <c r="AE71" s="132"/>
      <c r="AF71" s="133"/>
      <c r="AG71" s="133"/>
      <c r="AH71" s="133"/>
      <c r="AI71" s="133"/>
      <c r="AJ71" s="133"/>
      <c r="AK71" s="133"/>
      <c r="AL71" s="133"/>
      <c r="AM71" s="133"/>
      <c r="AN71" s="133"/>
      <c r="AO71" s="133"/>
      <c r="AP71" s="133"/>
      <c r="AQ71" s="133"/>
      <c r="AR71" s="104"/>
      <c r="AS71" s="93" t="e">
        <f>#REF!</f>
        <v>#REF!</v>
      </c>
    </row>
    <row r="72" spans="1:45" s="85" customFormat="1">
      <c r="A72" s="79"/>
      <c r="B72" s="159" t="str">
        <f>IF(D72="","",#REF!)</f>
        <v/>
      </c>
      <c r="C72" s="160"/>
      <c r="D72" s="88"/>
      <c r="E72" s="115"/>
      <c r="F72" s="116"/>
      <c r="G72" s="117"/>
      <c r="H72" s="137"/>
      <c r="I72" s="118"/>
      <c r="J72" s="118"/>
      <c r="K72" s="165"/>
      <c r="L72" s="166"/>
      <c r="M72" s="155"/>
      <c r="N72" s="124"/>
      <c r="O72" s="90"/>
      <c r="P72" s="90"/>
      <c r="Q72" s="124"/>
      <c r="R72" s="90"/>
      <c r="S72" s="90"/>
      <c r="T72" s="171"/>
      <c r="U72" s="172"/>
      <c r="V72" s="172"/>
      <c r="W72" s="128"/>
      <c r="X72" s="89"/>
      <c r="Y72" s="118"/>
      <c r="Z72" s="91"/>
      <c r="AA72" s="92"/>
      <c r="AB72" s="104"/>
      <c r="AC72" s="130"/>
      <c r="AD72" s="131"/>
      <c r="AE72" s="132"/>
      <c r="AF72" s="133"/>
      <c r="AG72" s="133"/>
      <c r="AH72" s="133"/>
      <c r="AI72" s="133"/>
      <c r="AJ72" s="133"/>
      <c r="AK72" s="133"/>
      <c r="AL72" s="133"/>
      <c r="AM72" s="133"/>
      <c r="AN72" s="133"/>
      <c r="AO72" s="133"/>
      <c r="AP72" s="133"/>
      <c r="AQ72" s="133"/>
      <c r="AR72" s="104"/>
      <c r="AS72" s="93" t="e">
        <f>#REF!</f>
        <v>#REF!</v>
      </c>
    </row>
    <row r="73" spans="1:45" s="85" customFormat="1">
      <c r="A73" s="79"/>
      <c r="B73" s="159" t="str">
        <f>IF(D73="","",#REF!)</f>
        <v/>
      </c>
      <c r="C73" s="160"/>
      <c r="D73" s="88"/>
      <c r="E73" s="115"/>
      <c r="F73" s="116"/>
      <c r="G73" s="117"/>
      <c r="H73" s="137"/>
      <c r="I73" s="118"/>
      <c r="J73" s="118"/>
      <c r="K73" s="165"/>
      <c r="L73" s="166"/>
      <c r="M73" s="155"/>
      <c r="N73" s="124"/>
      <c r="O73" s="90"/>
      <c r="P73" s="90"/>
      <c r="Q73" s="124"/>
      <c r="R73" s="90"/>
      <c r="S73" s="90"/>
      <c r="T73" s="171"/>
      <c r="U73" s="172"/>
      <c r="V73" s="172"/>
      <c r="W73" s="128"/>
      <c r="X73" s="89"/>
      <c r="Y73" s="118"/>
      <c r="Z73" s="91"/>
      <c r="AA73" s="92"/>
      <c r="AB73" s="104"/>
      <c r="AC73" s="130"/>
      <c r="AD73" s="131"/>
      <c r="AE73" s="132"/>
      <c r="AF73" s="133"/>
      <c r="AG73" s="133"/>
      <c r="AH73" s="133"/>
      <c r="AI73" s="133"/>
      <c r="AJ73" s="133"/>
      <c r="AK73" s="133"/>
      <c r="AL73" s="133"/>
      <c r="AM73" s="133"/>
      <c r="AN73" s="133"/>
      <c r="AO73" s="133"/>
      <c r="AP73" s="133"/>
      <c r="AQ73" s="133"/>
      <c r="AR73" s="104"/>
      <c r="AS73" s="93" t="e">
        <f>#REF!</f>
        <v>#REF!</v>
      </c>
    </row>
    <row r="74" spans="1:45" s="85" customFormat="1">
      <c r="A74" s="79"/>
      <c r="B74" s="159" t="str">
        <f>IF(D74="","",#REF!)</f>
        <v/>
      </c>
      <c r="C74" s="160"/>
      <c r="D74" s="88"/>
      <c r="E74" s="115"/>
      <c r="F74" s="116"/>
      <c r="G74" s="117"/>
      <c r="H74" s="137"/>
      <c r="I74" s="118"/>
      <c r="J74" s="118"/>
      <c r="K74" s="165"/>
      <c r="L74" s="166"/>
      <c r="M74" s="155"/>
      <c r="N74" s="124"/>
      <c r="O74" s="90"/>
      <c r="P74" s="90"/>
      <c r="Q74" s="124"/>
      <c r="R74" s="90"/>
      <c r="S74" s="90"/>
      <c r="T74" s="171"/>
      <c r="U74" s="172"/>
      <c r="V74" s="172"/>
      <c r="W74" s="128"/>
      <c r="X74" s="89"/>
      <c r="Y74" s="118"/>
      <c r="Z74" s="91"/>
      <c r="AA74" s="92"/>
      <c r="AB74" s="104"/>
      <c r="AC74" s="130"/>
      <c r="AD74" s="131"/>
      <c r="AE74" s="132"/>
      <c r="AF74" s="133"/>
      <c r="AG74" s="133"/>
      <c r="AH74" s="133"/>
      <c r="AI74" s="133"/>
      <c r="AJ74" s="133"/>
      <c r="AK74" s="133"/>
      <c r="AL74" s="133"/>
      <c r="AM74" s="133"/>
      <c r="AN74" s="133"/>
      <c r="AO74" s="133"/>
      <c r="AP74" s="133"/>
      <c r="AQ74" s="133"/>
      <c r="AR74" s="104"/>
      <c r="AS74" s="93" t="e">
        <f>#REF!</f>
        <v>#REF!</v>
      </c>
    </row>
    <row r="75" spans="1:45" s="85" customFormat="1">
      <c r="A75" s="79"/>
      <c r="B75" s="159" t="str">
        <f>IF(D75="","",#REF!)</f>
        <v/>
      </c>
      <c r="C75" s="160"/>
      <c r="D75" s="88"/>
      <c r="E75" s="115"/>
      <c r="F75" s="116"/>
      <c r="G75" s="117"/>
      <c r="H75" s="137"/>
      <c r="I75" s="118"/>
      <c r="J75" s="118"/>
      <c r="K75" s="165"/>
      <c r="L75" s="166"/>
      <c r="M75" s="155"/>
      <c r="N75" s="124"/>
      <c r="O75" s="90"/>
      <c r="P75" s="90"/>
      <c r="Q75" s="124"/>
      <c r="R75" s="90"/>
      <c r="S75" s="90"/>
      <c r="T75" s="171"/>
      <c r="U75" s="172"/>
      <c r="V75" s="172"/>
      <c r="W75" s="128"/>
      <c r="X75" s="89"/>
      <c r="Y75" s="118"/>
      <c r="Z75" s="91"/>
      <c r="AA75" s="92"/>
      <c r="AB75" s="104"/>
      <c r="AC75" s="130"/>
      <c r="AD75" s="131"/>
      <c r="AE75" s="132"/>
      <c r="AF75" s="133"/>
      <c r="AG75" s="133"/>
      <c r="AH75" s="133"/>
      <c r="AI75" s="133"/>
      <c r="AJ75" s="133"/>
      <c r="AK75" s="133"/>
      <c r="AL75" s="133"/>
      <c r="AM75" s="133"/>
      <c r="AN75" s="133"/>
      <c r="AO75" s="133"/>
      <c r="AP75" s="133"/>
      <c r="AQ75" s="133"/>
      <c r="AR75" s="104"/>
      <c r="AS75" s="93" t="e">
        <f>#REF!</f>
        <v>#REF!</v>
      </c>
    </row>
    <row r="76" spans="1:45" s="85" customFormat="1">
      <c r="A76" s="79"/>
      <c r="B76" s="159" t="str">
        <f>IF(D76="","",#REF!)</f>
        <v/>
      </c>
      <c r="C76" s="160"/>
      <c r="D76" s="88"/>
      <c r="E76" s="115"/>
      <c r="F76" s="116"/>
      <c r="G76" s="117"/>
      <c r="H76" s="137"/>
      <c r="I76" s="118"/>
      <c r="J76" s="118"/>
      <c r="K76" s="165"/>
      <c r="L76" s="166"/>
      <c r="M76" s="155"/>
      <c r="N76" s="124"/>
      <c r="O76" s="90"/>
      <c r="P76" s="90"/>
      <c r="Q76" s="124"/>
      <c r="R76" s="90"/>
      <c r="S76" s="90"/>
      <c r="T76" s="171"/>
      <c r="U76" s="172"/>
      <c r="V76" s="172"/>
      <c r="W76" s="128"/>
      <c r="X76" s="89"/>
      <c r="Y76" s="118"/>
      <c r="Z76" s="91"/>
      <c r="AA76" s="92"/>
      <c r="AB76" s="104"/>
      <c r="AC76" s="130"/>
      <c r="AD76" s="131"/>
      <c r="AE76" s="132"/>
      <c r="AF76" s="133"/>
      <c r="AG76" s="133"/>
      <c r="AH76" s="133"/>
      <c r="AI76" s="133"/>
      <c r="AJ76" s="133"/>
      <c r="AK76" s="133"/>
      <c r="AL76" s="133"/>
      <c r="AM76" s="133"/>
      <c r="AN76" s="133"/>
      <c r="AO76" s="133"/>
      <c r="AP76" s="133"/>
      <c r="AQ76" s="133"/>
      <c r="AR76" s="104"/>
      <c r="AS76" s="93" t="e">
        <f>#REF!</f>
        <v>#REF!</v>
      </c>
    </row>
    <row r="77" spans="1:45" s="85" customFormat="1">
      <c r="A77" s="79"/>
      <c r="B77" s="159" t="str">
        <f>IF(D77="","",#REF!)</f>
        <v/>
      </c>
      <c r="C77" s="160"/>
      <c r="D77" s="88"/>
      <c r="E77" s="115"/>
      <c r="F77" s="116"/>
      <c r="G77" s="117"/>
      <c r="H77" s="137"/>
      <c r="I77" s="118"/>
      <c r="J77" s="118"/>
      <c r="K77" s="165"/>
      <c r="L77" s="166"/>
      <c r="M77" s="155"/>
      <c r="N77" s="124"/>
      <c r="O77" s="90"/>
      <c r="P77" s="90"/>
      <c r="Q77" s="124"/>
      <c r="R77" s="90"/>
      <c r="S77" s="90"/>
      <c r="T77" s="171"/>
      <c r="U77" s="172"/>
      <c r="V77" s="172"/>
      <c r="W77" s="128"/>
      <c r="X77" s="89"/>
      <c r="Y77" s="118"/>
      <c r="Z77" s="91"/>
      <c r="AA77" s="92"/>
      <c r="AB77" s="104"/>
      <c r="AC77" s="130"/>
      <c r="AD77" s="131"/>
      <c r="AE77" s="132"/>
      <c r="AF77" s="133"/>
      <c r="AG77" s="133"/>
      <c r="AH77" s="133"/>
      <c r="AI77" s="133"/>
      <c r="AJ77" s="133"/>
      <c r="AK77" s="133"/>
      <c r="AL77" s="133"/>
      <c r="AM77" s="133"/>
      <c r="AN77" s="133"/>
      <c r="AO77" s="133"/>
      <c r="AP77" s="133"/>
      <c r="AQ77" s="133"/>
      <c r="AR77" s="104"/>
      <c r="AS77" s="93" t="e">
        <f>#REF!</f>
        <v>#REF!</v>
      </c>
    </row>
    <row r="78" spans="1:45" s="85" customFormat="1">
      <c r="A78" s="79"/>
      <c r="B78" s="159" t="str">
        <f>IF(D78="","",#REF!)</f>
        <v/>
      </c>
      <c r="C78" s="160"/>
      <c r="D78" s="88"/>
      <c r="E78" s="115"/>
      <c r="F78" s="116"/>
      <c r="G78" s="117"/>
      <c r="H78" s="137"/>
      <c r="I78" s="118"/>
      <c r="J78" s="118"/>
      <c r="K78" s="165"/>
      <c r="L78" s="166"/>
      <c r="M78" s="155"/>
      <c r="N78" s="124"/>
      <c r="O78" s="90"/>
      <c r="P78" s="90"/>
      <c r="Q78" s="124"/>
      <c r="R78" s="90"/>
      <c r="S78" s="90"/>
      <c r="T78" s="171"/>
      <c r="U78" s="172"/>
      <c r="V78" s="172"/>
      <c r="W78" s="128"/>
      <c r="X78" s="89"/>
      <c r="Y78" s="118"/>
      <c r="Z78" s="91"/>
      <c r="AA78" s="92"/>
      <c r="AB78" s="104"/>
      <c r="AC78" s="130"/>
      <c r="AD78" s="131"/>
      <c r="AE78" s="132"/>
      <c r="AF78" s="133"/>
      <c r="AG78" s="133"/>
      <c r="AH78" s="133"/>
      <c r="AI78" s="133"/>
      <c r="AJ78" s="133"/>
      <c r="AK78" s="133"/>
      <c r="AL78" s="133"/>
      <c r="AM78" s="133"/>
      <c r="AN78" s="133"/>
      <c r="AO78" s="133"/>
      <c r="AP78" s="133"/>
      <c r="AQ78" s="133"/>
      <c r="AR78" s="104"/>
      <c r="AS78" s="93" t="e">
        <f>#REF!</f>
        <v>#REF!</v>
      </c>
    </row>
    <row r="79" spans="1:45" s="85" customFormat="1">
      <c r="A79" s="79"/>
      <c r="B79" s="159" t="str">
        <f>IF(D79="","",#REF!)</f>
        <v/>
      </c>
      <c r="C79" s="160"/>
      <c r="D79" s="88"/>
      <c r="E79" s="115"/>
      <c r="F79" s="116"/>
      <c r="G79" s="117"/>
      <c r="H79" s="137"/>
      <c r="I79" s="118"/>
      <c r="J79" s="118"/>
      <c r="K79" s="165"/>
      <c r="L79" s="166"/>
      <c r="M79" s="155"/>
      <c r="N79" s="124"/>
      <c r="O79" s="90"/>
      <c r="P79" s="90"/>
      <c r="Q79" s="124"/>
      <c r="R79" s="90"/>
      <c r="S79" s="90"/>
      <c r="T79" s="171"/>
      <c r="U79" s="172"/>
      <c r="V79" s="172"/>
      <c r="W79" s="128"/>
      <c r="X79" s="89"/>
      <c r="Y79" s="118"/>
      <c r="Z79" s="91"/>
      <c r="AA79" s="92"/>
      <c r="AB79" s="104"/>
      <c r="AC79" s="130"/>
      <c r="AD79" s="131"/>
      <c r="AE79" s="132"/>
      <c r="AF79" s="133"/>
      <c r="AG79" s="133"/>
      <c r="AH79" s="133"/>
      <c r="AI79" s="133"/>
      <c r="AJ79" s="133"/>
      <c r="AK79" s="133"/>
      <c r="AL79" s="133"/>
      <c r="AM79" s="133"/>
      <c r="AN79" s="133"/>
      <c r="AO79" s="133"/>
      <c r="AP79" s="133"/>
      <c r="AQ79" s="133"/>
      <c r="AR79" s="104"/>
      <c r="AS79" s="93" t="e">
        <f>#REF!</f>
        <v>#REF!</v>
      </c>
    </row>
    <row r="80" spans="1:45" s="85" customFormat="1">
      <c r="A80" s="79"/>
      <c r="B80" s="159" t="str">
        <f>IF(D80="","",#REF!)</f>
        <v/>
      </c>
      <c r="C80" s="160"/>
      <c r="D80" s="88"/>
      <c r="E80" s="115"/>
      <c r="F80" s="116"/>
      <c r="G80" s="117"/>
      <c r="H80" s="137"/>
      <c r="I80" s="118"/>
      <c r="J80" s="118"/>
      <c r="K80" s="165"/>
      <c r="L80" s="166"/>
      <c r="M80" s="155"/>
      <c r="N80" s="124"/>
      <c r="O80" s="90"/>
      <c r="P80" s="90"/>
      <c r="Q80" s="124"/>
      <c r="R80" s="90"/>
      <c r="S80" s="90"/>
      <c r="T80" s="171"/>
      <c r="U80" s="172"/>
      <c r="V80" s="172"/>
      <c r="W80" s="128"/>
      <c r="X80" s="89"/>
      <c r="Y80" s="118"/>
      <c r="Z80" s="91"/>
      <c r="AA80" s="92"/>
      <c r="AB80" s="104"/>
      <c r="AC80" s="130"/>
      <c r="AD80" s="131"/>
      <c r="AE80" s="132"/>
      <c r="AF80" s="133"/>
      <c r="AG80" s="133"/>
      <c r="AH80" s="133"/>
      <c r="AI80" s="133"/>
      <c r="AJ80" s="133"/>
      <c r="AK80" s="133"/>
      <c r="AL80" s="133"/>
      <c r="AM80" s="133"/>
      <c r="AN80" s="133"/>
      <c r="AO80" s="133"/>
      <c r="AP80" s="133"/>
      <c r="AQ80" s="133"/>
      <c r="AR80" s="104"/>
      <c r="AS80" s="93" t="e">
        <f>#REF!</f>
        <v>#REF!</v>
      </c>
    </row>
    <row r="81" spans="1:45" s="85" customFormat="1">
      <c r="A81" s="79"/>
      <c r="B81" s="159" t="str">
        <f>IF(D81="","",#REF!)</f>
        <v/>
      </c>
      <c r="C81" s="160"/>
      <c r="D81" s="88"/>
      <c r="E81" s="115"/>
      <c r="F81" s="116"/>
      <c r="G81" s="117"/>
      <c r="H81" s="137"/>
      <c r="I81" s="118"/>
      <c r="J81" s="118"/>
      <c r="K81" s="165"/>
      <c r="L81" s="166"/>
      <c r="M81" s="155"/>
      <c r="N81" s="124"/>
      <c r="O81" s="90"/>
      <c r="P81" s="90"/>
      <c r="Q81" s="124"/>
      <c r="R81" s="90"/>
      <c r="S81" s="90"/>
      <c r="T81" s="171"/>
      <c r="U81" s="172"/>
      <c r="V81" s="172"/>
      <c r="W81" s="128"/>
      <c r="X81" s="89"/>
      <c r="Y81" s="118"/>
      <c r="Z81" s="91"/>
      <c r="AA81" s="92"/>
      <c r="AB81" s="104"/>
      <c r="AC81" s="130"/>
      <c r="AD81" s="131"/>
      <c r="AE81" s="132"/>
      <c r="AF81" s="133"/>
      <c r="AG81" s="133"/>
      <c r="AH81" s="133"/>
      <c r="AI81" s="133"/>
      <c r="AJ81" s="133"/>
      <c r="AK81" s="133"/>
      <c r="AL81" s="133"/>
      <c r="AM81" s="133"/>
      <c r="AN81" s="133"/>
      <c r="AO81" s="133"/>
      <c r="AP81" s="133"/>
      <c r="AQ81" s="133"/>
      <c r="AR81" s="104"/>
      <c r="AS81" s="93" t="e">
        <f>#REF!</f>
        <v>#REF!</v>
      </c>
    </row>
    <row r="82" spans="1:45" s="85" customFormat="1">
      <c r="A82" s="79"/>
      <c r="B82" s="159" t="str">
        <f>IF(D82="","",#REF!)</f>
        <v/>
      </c>
      <c r="C82" s="160"/>
      <c r="D82" s="88"/>
      <c r="E82" s="115"/>
      <c r="F82" s="116"/>
      <c r="G82" s="117"/>
      <c r="H82" s="137"/>
      <c r="I82" s="118"/>
      <c r="J82" s="118"/>
      <c r="K82" s="165"/>
      <c r="L82" s="166"/>
      <c r="M82" s="155"/>
      <c r="N82" s="124"/>
      <c r="O82" s="90"/>
      <c r="P82" s="90"/>
      <c r="Q82" s="124"/>
      <c r="R82" s="90"/>
      <c r="S82" s="90"/>
      <c r="T82" s="171"/>
      <c r="U82" s="172"/>
      <c r="V82" s="172"/>
      <c r="W82" s="128"/>
      <c r="X82" s="89"/>
      <c r="Y82" s="118"/>
      <c r="Z82" s="91"/>
      <c r="AA82" s="92"/>
      <c r="AB82" s="104"/>
      <c r="AC82" s="130"/>
      <c r="AD82" s="131"/>
      <c r="AE82" s="132"/>
      <c r="AF82" s="133"/>
      <c r="AG82" s="133"/>
      <c r="AH82" s="133"/>
      <c r="AI82" s="133"/>
      <c r="AJ82" s="133"/>
      <c r="AK82" s="133"/>
      <c r="AL82" s="133"/>
      <c r="AM82" s="133"/>
      <c r="AN82" s="133"/>
      <c r="AO82" s="133"/>
      <c r="AP82" s="133"/>
      <c r="AQ82" s="133"/>
      <c r="AR82" s="104"/>
      <c r="AS82" s="93" t="e">
        <f>#REF!</f>
        <v>#REF!</v>
      </c>
    </row>
    <row r="83" spans="1:45" s="85" customFormat="1">
      <c r="A83" s="79"/>
      <c r="B83" s="159" t="str">
        <f>IF(D83="","",#REF!)</f>
        <v/>
      </c>
      <c r="C83" s="160"/>
      <c r="D83" s="88"/>
      <c r="E83" s="115"/>
      <c r="F83" s="116"/>
      <c r="G83" s="117"/>
      <c r="H83" s="137"/>
      <c r="I83" s="118"/>
      <c r="J83" s="118"/>
      <c r="K83" s="165"/>
      <c r="L83" s="166"/>
      <c r="M83" s="155"/>
      <c r="N83" s="124"/>
      <c r="O83" s="90"/>
      <c r="P83" s="90"/>
      <c r="Q83" s="124"/>
      <c r="R83" s="90"/>
      <c r="S83" s="90"/>
      <c r="T83" s="171"/>
      <c r="U83" s="172"/>
      <c r="V83" s="172"/>
      <c r="W83" s="128"/>
      <c r="X83" s="89"/>
      <c r="Y83" s="118"/>
      <c r="Z83" s="91"/>
      <c r="AA83" s="92"/>
      <c r="AB83" s="104"/>
      <c r="AC83" s="130"/>
      <c r="AD83" s="131"/>
      <c r="AE83" s="132"/>
      <c r="AF83" s="133"/>
      <c r="AG83" s="133"/>
      <c r="AH83" s="133"/>
      <c r="AI83" s="133"/>
      <c r="AJ83" s="133"/>
      <c r="AK83" s="133"/>
      <c r="AL83" s="133"/>
      <c r="AM83" s="133"/>
      <c r="AN83" s="133"/>
      <c r="AO83" s="133"/>
      <c r="AP83" s="133"/>
      <c r="AQ83" s="133"/>
      <c r="AR83" s="104"/>
      <c r="AS83" s="93" t="e">
        <f>#REF!</f>
        <v>#REF!</v>
      </c>
    </row>
    <row r="84" spans="1:45" s="85" customFormat="1">
      <c r="A84" s="79"/>
      <c r="B84" s="159" t="str">
        <f>IF(D84="","",#REF!)</f>
        <v/>
      </c>
      <c r="C84" s="160"/>
      <c r="D84" s="88"/>
      <c r="E84" s="115"/>
      <c r="F84" s="116"/>
      <c r="G84" s="117"/>
      <c r="H84" s="137"/>
      <c r="I84" s="118"/>
      <c r="J84" s="118"/>
      <c r="K84" s="165"/>
      <c r="L84" s="166"/>
      <c r="M84" s="155"/>
      <c r="N84" s="124"/>
      <c r="O84" s="90"/>
      <c r="P84" s="90"/>
      <c r="Q84" s="124"/>
      <c r="R84" s="90"/>
      <c r="S84" s="90"/>
      <c r="T84" s="171"/>
      <c r="U84" s="172"/>
      <c r="V84" s="172"/>
      <c r="W84" s="128"/>
      <c r="X84" s="89"/>
      <c r="Y84" s="118"/>
      <c r="Z84" s="91"/>
      <c r="AA84" s="92"/>
      <c r="AB84" s="104"/>
      <c r="AC84" s="130"/>
      <c r="AD84" s="131"/>
      <c r="AE84" s="132"/>
      <c r="AF84" s="133"/>
      <c r="AG84" s="133"/>
      <c r="AH84" s="133"/>
      <c r="AI84" s="133"/>
      <c r="AJ84" s="133"/>
      <c r="AK84" s="133"/>
      <c r="AL84" s="133"/>
      <c r="AM84" s="133"/>
      <c r="AN84" s="133"/>
      <c r="AO84" s="133"/>
      <c r="AP84" s="133"/>
      <c r="AQ84" s="133"/>
      <c r="AR84" s="104"/>
      <c r="AS84" s="93" t="e">
        <f>#REF!</f>
        <v>#REF!</v>
      </c>
    </row>
    <row r="85" spans="1:45" s="85" customFormat="1">
      <c r="A85" s="79"/>
      <c r="B85" s="159" t="str">
        <f>IF(D85="","",#REF!)</f>
        <v/>
      </c>
      <c r="C85" s="160"/>
      <c r="D85" s="88"/>
      <c r="E85" s="115"/>
      <c r="F85" s="116"/>
      <c r="G85" s="117"/>
      <c r="H85" s="137"/>
      <c r="I85" s="118"/>
      <c r="J85" s="118"/>
      <c r="K85" s="165"/>
      <c r="L85" s="166"/>
      <c r="M85" s="155"/>
      <c r="N85" s="124"/>
      <c r="O85" s="90"/>
      <c r="P85" s="90"/>
      <c r="Q85" s="124"/>
      <c r="R85" s="90"/>
      <c r="S85" s="90"/>
      <c r="T85" s="171"/>
      <c r="U85" s="172"/>
      <c r="V85" s="172"/>
      <c r="W85" s="128"/>
      <c r="X85" s="89"/>
      <c r="Y85" s="118"/>
      <c r="Z85" s="91"/>
      <c r="AA85" s="92"/>
      <c r="AB85" s="104"/>
      <c r="AC85" s="130"/>
      <c r="AD85" s="131"/>
      <c r="AE85" s="132"/>
      <c r="AF85" s="133"/>
      <c r="AG85" s="133"/>
      <c r="AH85" s="133"/>
      <c r="AI85" s="133"/>
      <c r="AJ85" s="133"/>
      <c r="AK85" s="133"/>
      <c r="AL85" s="133"/>
      <c r="AM85" s="133"/>
      <c r="AN85" s="133"/>
      <c r="AO85" s="133"/>
      <c r="AP85" s="133"/>
      <c r="AQ85" s="133"/>
      <c r="AR85" s="104"/>
      <c r="AS85" s="93" t="e">
        <f>#REF!</f>
        <v>#REF!</v>
      </c>
    </row>
    <row r="86" spans="1:45" s="85" customFormat="1">
      <c r="A86" s="79"/>
      <c r="B86" s="159" t="str">
        <f>IF(D86="","",#REF!)</f>
        <v/>
      </c>
      <c r="C86" s="160"/>
      <c r="D86" s="88"/>
      <c r="E86" s="115"/>
      <c r="F86" s="116"/>
      <c r="G86" s="117"/>
      <c r="H86" s="137"/>
      <c r="I86" s="118"/>
      <c r="J86" s="118"/>
      <c r="K86" s="165"/>
      <c r="L86" s="166"/>
      <c r="M86" s="155"/>
      <c r="N86" s="124"/>
      <c r="O86" s="90"/>
      <c r="P86" s="90"/>
      <c r="Q86" s="124"/>
      <c r="R86" s="90"/>
      <c r="S86" s="90"/>
      <c r="T86" s="171"/>
      <c r="U86" s="172"/>
      <c r="V86" s="172"/>
      <c r="W86" s="128"/>
      <c r="X86" s="89"/>
      <c r="Y86" s="118"/>
      <c r="Z86" s="91"/>
      <c r="AA86" s="92"/>
      <c r="AB86" s="104"/>
      <c r="AC86" s="130"/>
      <c r="AD86" s="131"/>
      <c r="AE86" s="132"/>
      <c r="AF86" s="133"/>
      <c r="AG86" s="133"/>
      <c r="AH86" s="133"/>
      <c r="AI86" s="133"/>
      <c r="AJ86" s="133"/>
      <c r="AK86" s="133"/>
      <c r="AL86" s="133"/>
      <c r="AM86" s="133"/>
      <c r="AN86" s="133"/>
      <c r="AO86" s="133"/>
      <c r="AP86" s="133"/>
      <c r="AQ86" s="133"/>
      <c r="AR86" s="104"/>
      <c r="AS86" s="93" t="e">
        <f>#REF!</f>
        <v>#REF!</v>
      </c>
    </row>
    <row r="87" spans="1:45" s="85" customFormat="1">
      <c r="A87" s="79"/>
      <c r="B87" s="159" t="str">
        <f>IF(D87="","",#REF!)</f>
        <v/>
      </c>
      <c r="C87" s="160"/>
      <c r="D87" s="88"/>
      <c r="E87" s="115"/>
      <c r="F87" s="116"/>
      <c r="G87" s="117"/>
      <c r="H87" s="137"/>
      <c r="I87" s="118"/>
      <c r="J87" s="118"/>
      <c r="K87" s="165"/>
      <c r="L87" s="166"/>
      <c r="M87" s="155"/>
      <c r="N87" s="124"/>
      <c r="O87" s="90"/>
      <c r="P87" s="90"/>
      <c r="Q87" s="124"/>
      <c r="R87" s="90"/>
      <c r="S87" s="90"/>
      <c r="T87" s="171"/>
      <c r="U87" s="172"/>
      <c r="V87" s="172"/>
      <c r="W87" s="128"/>
      <c r="X87" s="89"/>
      <c r="Y87" s="118"/>
      <c r="Z87" s="91"/>
      <c r="AA87" s="92"/>
      <c r="AB87" s="104"/>
      <c r="AC87" s="130"/>
      <c r="AD87" s="131"/>
      <c r="AE87" s="132"/>
      <c r="AF87" s="133"/>
      <c r="AG87" s="133"/>
      <c r="AH87" s="133"/>
      <c r="AI87" s="133"/>
      <c r="AJ87" s="133"/>
      <c r="AK87" s="133"/>
      <c r="AL87" s="133"/>
      <c r="AM87" s="133"/>
      <c r="AN87" s="133"/>
      <c r="AO87" s="133"/>
      <c r="AP87" s="133"/>
      <c r="AQ87" s="133"/>
      <c r="AR87" s="104"/>
      <c r="AS87" s="93" t="e">
        <f>#REF!</f>
        <v>#REF!</v>
      </c>
    </row>
    <row r="88" spans="1:45" s="85" customFormat="1">
      <c r="A88" s="79"/>
      <c r="B88" s="159" t="str">
        <f>IF(D88="","",#REF!)</f>
        <v/>
      </c>
      <c r="C88" s="160"/>
      <c r="D88" s="88"/>
      <c r="E88" s="115"/>
      <c r="F88" s="116"/>
      <c r="G88" s="117"/>
      <c r="H88" s="137"/>
      <c r="I88" s="118"/>
      <c r="J88" s="118"/>
      <c r="K88" s="165"/>
      <c r="L88" s="166"/>
      <c r="M88" s="155"/>
      <c r="N88" s="124"/>
      <c r="O88" s="90"/>
      <c r="P88" s="90"/>
      <c r="Q88" s="124"/>
      <c r="R88" s="90"/>
      <c r="S88" s="90"/>
      <c r="T88" s="171"/>
      <c r="U88" s="172"/>
      <c r="V88" s="172"/>
      <c r="W88" s="128"/>
      <c r="X88" s="89"/>
      <c r="Y88" s="118"/>
      <c r="Z88" s="91"/>
      <c r="AA88" s="92"/>
      <c r="AB88" s="104"/>
      <c r="AC88" s="130"/>
      <c r="AD88" s="131"/>
      <c r="AE88" s="132"/>
      <c r="AF88" s="133"/>
      <c r="AG88" s="133"/>
      <c r="AH88" s="133"/>
      <c r="AI88" s="133"/>
      <c r="AJ88" s="133"/>
      <c r="AK88" s="133"/>
      <c r="AL88" s="133"/>
      <c r="AM88" s="133"/>
      <c r="AN88" s="133"/>
      <c r="AO88" s="133"/>
      <c r="AP88" s="133"/>
      <c r="AQ88" s="133"/>
      <c r="AR88" s="104"/>
      <c r="AS88" s="93" t="e">
        <f>#REF!</f>
        <v>#REF!</v>
      </c>
    </row>
    <row r="89" spans="1:45" s="85" customFormat="1">
      <c r="A89" s="79"/>
      <c r="B89" s="159" t="str">
        <f>IF(D89="","",#REF!)</f>
        <v/>
      </c>
      <c r="C89" s="160"/>
      <c r="D89" s="88"/>
      <c r="E89" s="115"/>
      <c r="F89" s="116"/>
      <c r="G89" s="117"/>
      <c r="H89" s="137"/>
      <c r="I89" s="118"/>
      <c r="J89" s="118"/>
      <c r="K89" s="165"/>
      <c r="L89" s="166"/>
      <c r="M89" s="155"/>
      <c r="N89" s="124"/>
      <c r="O89" s="90"/>
      <c r="P89" s="90"/>
      <c r="Q89" s="124"/>
      <c r="R89" s="90"/>
      <c r="S89" s="90"/>
      <c r="T89" s="171"/>
      <c r="U89" s="172"/>
      <c r="V89" s="172"/>
      <c r="W89" s="128"/>
      <c r="X89" s="89"/>
      <c r="Y89" s="118"/>
      <c r="Z89" s="91"/>
      <c r="AA89" s="92"/>
      <c r="AB89" s="104"/>
      <c r="AC89" s="130"/>
      <c r="AD89" s="131"/>
      <c r="AE89" s="132"/>
      <c r="AF89" s="133"/>
      <c r="AG89" s="133"/>
      <c r="AH89" s="133"/>
      <c r="AI89" s="133"/>
      <c r="AJ89" s="133"/>
      <c r="AK89" s="133"/>
      <c r="AL89" s="133"/>
      <c r="AM89" s="133"/>
      <c r="AN89" s="133"/>
      <c r="AO89" s="133"/>
      <c r="AP89" s="133"/>
      <c r="AQ89" s="133"/>
      <c r="AR89" s="104"/>
      <c r="AS89" s="93" t="e">
        <f>#REF!</f>
        <v>#REF!</v>
      </c>
    </row>
    <row r="90" spans="1:45" s="85" customFormat="1">
      <c r="A90" s="79"/>
      <c r="B90" s="159" t="str">
        <f>IF(D90="","",#REF!)</f>
        <v/>
      </c>
      <c r="C90" s="160"/>
      <c r="D90" s="88"/>
      <c r="E90" s="115"/>
      <c r="F90" s="116"/>
      <c r="G90" s="117"/>
      <c r="H90" s="137"/>
      <c r="I90" s="118"/>
      <c r="J90" s="118"/>
      <c r="K90" s="165"/>
      <c r="L90" s="166"/>
      <c r="M90" s="155"/>
      <c r="N90" s="124"/>
      <c r="O90" s="90"/>
      <c r="P90" s="90"/>
      <c r="Q90" s="124"/>
      <c r="R90" s="90"/>
      <c r="S90" s="90"/>
      <c r="T90" s="171"/>
      <c r="U90" s="172"/>
      <c r="V90" s="172"/>
      <c r="W90" s="128"/>
      <c r="X90" s="89"/>
      <c r="Y90" s="118"/>
      <c r="Z90" s="91"/>
      <c r="AA90" s="92"/>
      <c r="AB90" s="104"/>
      <c r="AC90" s="130"/>
      <c r="AD90" s="131"/>
      <c r="AE90" s="132"/>
      <c r="AF90" s="133"/>
      <c r="AG90" s="133"/>
      <c r="AH90" s="133"/>
      <c r="AI90" s="133"/>
      <c r="AJ90" s="133"/>
      <c r="AK90" s="133"/>
      <c r="AL90" s="133"/>
      <c r="AM90" s="133"/>
      <c r="AN90" s="133"/>
      <c r="AO90" s="133"/>
      <c r="AP90" s="133"/>
      <c r="AQ90" s="133"/>
      <c r="AR90" s="104"/>
      <c r="AS90" s="93" t="e">
        <f>#REF!</f>
        <v>#REF!</v>
      </c>
    </row>
    <row r="91" spans="1:45" s="85" customFormat="1">
      <c r="A91" s="79"/>
      <c r="B91" s="159" t="str">
        <f>IF(D91="","",#REF!)</f>
        <v/>
      </c>
      <c r="C91" s="160"/>
      <c r="D91" s="88"/>
      <c r="E91" s="115"/>
      <c r="F91" s="116"/>
      <c r="G91" s="117"/>
      <c r="H91" s="137"/>
      <c r="I91" s="118"/>
      <c r="J91" s="118"/>
      <c r="K91" s="165"/>
      <c r="L91" s="166"/>
      <c r="M91" s="155"/>
      <c r="N91" s="124"/>
      <c r="O91" s="90"/>
      <c r="P91" s="90"/>
      <c r="Q91" s="124"/>
      <c r="R91" s="90"/>
      <c r="S91" s="90"/>
      <c r="T91" s="171"/>
      <c r="U91" s="172"/>
      <c r="V91" s="172"/>
      <c r="W91" s="128"/>
      <c r="X91" s="89"/>
      <c r="Y91" s="118"/>
      <c r="Z91" s="91"/>
      <c r="AA91" s="92"/>
      <c r="AB91" s="104"/>
      <c r="AC91" s="130"/>
      <c r="AD91" s="131"/>
      <c r="AE91" s="132"/>
      <c r="AF91" s="133"/>
      <c r="AG91" s="133"/>
      <c r="AH91" s="133"/>
      <c r="AI91" s="133"/>
      <c r="AJ91" s="133"/>
      <c r="AK91" s="133"/>
      <c r="AL91" s="133"/>
      <c r="AM91" s="133"/>
      <c r="AN91" s="133"/>
      <c r="AO91" s="133"/>
      <c r="AP91" s="133"/>
      <c r="AQ91" s="133"/>
      <c r="AR91" s="104"/>
      <c r="AS91" s="93" t="e">
        <f>#REF!</f>
        <v>#REF!</v>
      </c>
    </row>
    <row r="92" spans="1:45" s="85" customFormat="1">
      <c r="A92" s="79"/>
      <c r="B92" s="159" t="str">
        <f>IF(D92="","",#REF!)</f>
        <v/>
      </c>
      <c r="C92" s="160"/>
      <c r="D92" s="88"/>
      <c r="E92" s="115"/>
      <c r="F92" s="116"/>
      <c r="G92" s="117"/>
      <c r="H92" s="137"/>
      <c r="I92" s="118"/>
      <c r="J92" s="118"/>
      <c r="K92" s="165"/>
      <c r="L92" s="166"/>
      <c r="M92" s="155"/>
      <c r="N92" s="124"/>
      <c r="O92" s="90"/>
      <c r="P92" s="90"/>
      <c r="Q92" s="124"/>
      <c r="R92" s="90"/>
      <c r="S92" s="90"/>
      <c r="T92" s="171"/>
      <c r="U92" s="172"/>
      <c r="V92" s="172"/>
      <c r="W92" s="128"/>
      <c r="X92" s="89"/>
      <c r="Y92" s="118"/>
      <c r="Z92" s="91"/>
      <c r="AA92" s="92"/>
      <c r="AB92" s="104"/>
      <c r="AC92" s="130"/>
      <c r="AD92" s="131"/>
      <c r="AE92" s="132"/>
      <c r="AF92" s="133"/>
      <c r="AG92" s="133"/>
      <c r="AH92" s="133"/>
      <c r="AI92" s="133"/>
      <c r="AJ92" s="133"/>
      <c r="AK92" s="133"/>
      <c r="AL92" s="133"/>
      <c r="AM92" s="133"/>
      <c r="AN92" s="133"/>
      <c r="AO92" s="133"/>
      <c r="AP92" s="133"/>
      <c r="AQ92" s="133"/>
      <c r="AR92" s="104"/>
      <c r="AS92" s="93" t="e">
        <f>#REF!</f>
        <v>#REF!</v>
      </c>
    </row>
    <row r="93" spans="1:45" s="85" customFormat="1">
      <c r="A93" s="79"/>
      <c r="B93" s="159" t="str">
        <f>IF(D93="","",#REF!)</f>
        <v/>
      </c>
      <c r="C93" s="160"/>
      <c r="D93" s="88"/>
      <c r="E93" s="115"/>
      <c r="F93" s="116"/>
      <c r="G93" s="117"/>
      <c r="H93" s="137"/>
      <c r="I93" s="118"/>
      <c r="J93" s="118"/>
      <c r="K93" s="165"/>
      <c r="L93" s="166"/>
      <c r="M93" s="155"/>
      <c r="N93" s="124"/>
      <c r="O93" s="90"/>
      <c r="P93" s="90"/>
      <c r="Q93" s="124"/>
      <c r="R93" s="90"/>
      <c r="S93" s="90"/>
      <c r="T93" s="171"/>
      <c r="U93" s="172"/>
      <c r="V93" s="172"/>
      <c r="W93" s="128"/>
      <c r="X93" s="89"/>
      <c r="Y93" s="118"/>
      <c r="Z93" s="91"/>
      <c r="AA93" s="92"/>
      <c r="AB93" s="104"/>
      <c r="AC93" s="130"/>
      <c r="AD93" s="131"/>
      <c r="AE93" s="132"/>
      <c r="AF93" s="133"/>
      <c r="AG93" s="133"/>
      <c r="AH93" s="133"/>
      <c r="AI93" s="133"/>
      <c r="AJ93" s="133"/>
      <c r="AK93" s="133"/>
      <c r="AL93" s="133"/>
      <c r="AM93" s="133"/>
      <c r="AN93" s="133"/>
      <c r="AO93" s="133"/>
      <c r="AP93" s="133"/>
      <c r="AQ93" s="133"/>
      <c r="AR93" s="104"/>
      <c r="AS93" s="93" t="e">
        <f>#REF!</f>
        <v>#REF!</v>
      </c>
    </row>
    <row r="94" spans="1:45" s="85" customFormat="1">
      <c r="A94" s="79"/>
      <c r="B94" s="159" t="str">
        <f>IF(D94="","",#REF!)</f>
        <v/>
      </c>
      <c r="C94" s="160"/>
      <c r="D94" s="88"/>
      <c r="E94" s="115"/>
      <c r="F94" s="116"/>
      <c r="G94" s="117"/>
      <c r="H94" s="137"/>
      <c r="I94" s="118"/>
      <c r="J94" s="118"/>
      <c r="K94" s="165"/>
      <c r="L94" s="166"/>
      <c r="M94" s="155"/>
      <c r="N94" s="124"/>
      <c r="O94" s="90"/>
      <c r="P94" s="90"/>
      <c r="Q94" s="124"/>
      <c r="R94" s="90"/>
      <c r="S94" s="90"/>
      <c r="T94" s="171"/>
      <c r="U94" s="172"/>
      <c r="V94" s="172"/>
      <c r="W94" s="128"/>
      <c r="X94" s="89"/>
      <c r="Y94" s="118"/>
      <c r="Z94" s="91"/>
      <c r="AA94" s="92"/>
      <c r="AB94" s="104"/>
      <c r="AC94" s="130"/>
      <c r="AD94" s="131"/>
      <c r="AE94" s="132"/>
      <c r="AF94" s="133"/>
      <c r="AG94" s="133"/>
      <c r="AH94" s="133"/>
      <c r="AI94" s="133"/>
      <c r="AJ94" s="133"/>
      <c r="AK94" s="133"/>
      <c r="AL94" s="133"/>
      <c r="AM94" s="133"/>
      <c r="AN94" s="133"/>
      <c r="AO94" s="133"/>
      <c r="AP94" s="133"/>
      <c r="AQ94" s="133"/>
      <c r="AR94" s="104"/>
      <c r="AS94" s="93" t="e">
        <f>#REF!</f>
        <v>#REF!</v>
      </c>
    </row>
    <row r="95" spans="1:45" s="85" customFormat="1">
      <c r="A95" s="79"/>
      <c r="B95" s="159" t="str">
        <f>IF(D95="","",#REF!)</f>
        <v/>
      </c>
      <c r="C95" s="160"/>
      <c r="D95" s="88"/>
      <c r="E95" s="115"/>
      <c r="F95" s="116"/>
      <c r="G95" s="117"/>
      <c r="H95" s="137"/>
      <c r="I95" s="118"/>
      <c r="J95" s="118"/>
      <c r="K95" s="165"/>
      <c r="L95" s="166"/>
      <c r="M95" s="155"/>
      <c r="N95" s="124"/>
      <c r="O95" s="90"/>
      <c r="P95" s="90"/>
      <c r="Q95" s="124"/>
      <c r="R95" s="90"/>
      <c r="S95" s="90"/>
      <c r="T95" s="171"/>
      <c r="U95" s="172"/>
      <c r="V95" s="172"/>
      <c r="W95" s="128"/>
      <c r="X95" s="89"/>
      <c r="Y95" s="118"/>
      <c r="Z95" s="91"/>
      <c r="AA95" s="92"/>
      <c r="AB95" s="104"/>
      <c r="AC95" s="130"/>
      <c r="AD95" s="131"/>
      <c r="AE95" s="132"/>
      <c r="AF95" s="133"/>
      <c r="AG95" s="133"/>
      <c r="AH95" s="133"/>
      <c r="AI95" s="133"/>
      <c r="AJ95" s="133"/>
      <c r="AK95" s="133"/>
      <c r="AL95" s="133"/>
      <c r="AM95" s="133"/>
      <c r="AN95" s="133"/>
      <c r="AO95" s="133"/>
      <c r="AP95" s="133"/>
      <c r="AQ95" s="133"/>
      <c r="AR95" s="104"/>
      <c r="AS95" s="93" t="e">
        <f>#REF!</f>
        <v>#REF!</v>
      </c>
    </row>
    <row r="96" spans="1:45" s="85" customFormat="1">
      <c r="A96" s="79"/>
      <c r="B96" s="159" t="str">
        <f>IF(D96="","",#REF!)</f>
        <v/>
      </c>
      <c r="C96" s="160"/>
      <c r="D96" s="88"/>
      <c r="E96" s="115"/>
      <c r="F96" s="116"/>
      <c r="G96" s="117"/>
      <c r="H96" s="137"/>
      <c r="I96" s="118"/>
      <c r="J96" s="118"/>
      <c r="K96" s="165"/>
      <c r="L96" s="166"/>
      <c r="M96" s="155"/>
      <c r="N96" s="124"/>
      <c r="O96" s="90"/>
      <c r="P96" s="90"/>
      <c r="Q96" s="124"/>
      <c r="R96" s="90"/>
      <c r="S96" s="90"/>
      <c r="T96" s="171"/>
      <c r="U96" s="172"/>
      <c r="V96" s="172"/>
      <c r="W96" s="128"/>
      <c r="X96" s="89"/>
      <c r="Y96" s="118"/>
      <c r="Z96" s="91"/>
      <c r="AA96" s="92"/>
      <c r="AB96" s="104"/>
      <c r="AC96" s="130"/>
      <c r="AD96" s="131"/>
      <c r="AE96" s="132"/>
      <c r="AF96" s="133"/>
      <c r="AG96" s="133"/>
      <c r="AH96" s="133"/>
      <c r="AI96" s="133"/>
      <c r="AJ96" s="133"/>
      <c r="AK96" s="133"/>
      <c r="AL96" s="133"/>
      <c r="AM96" s="133"/>
      <c r="AN96" s="133"/>
      <c r="AO96" s="133"/>
      <c r="AP96" s="133"/>
      <c r="AQ96" s="133"/>
      <c r="AR96" s="104"/>
      <c r="AS96" s="93" t="e">
        <f>#REF!</f>
        <v>#REF!</v>
      </c>
    </row>
    <row r="97" spans="1:45" s="85" customFormat="1">
      <c r="A97" s="79"/>
      <c r="B97" s="159" t="str">
        <f>IF(D97="","",#REF!)</f>
        <v/>
      </c>
      <c r="C97" s="160"/>
      <c r="D97" s="88"/>
      <c r="E97" s="115"/>
      <c r="F97" s="116"/>
      <c r="G97" s="117"/>
      <c r="H97" s="137"/>
      <c r="I97" s="118"/>
      <c r="J97" s="118"/>
      <c r="K97" s="165"/>
      <c r="L97" s="166"/>
      <c r="M97" s="155"/>
      <c r="N97" s="124"/>
      <c r="O97" s="90"/>
      <c r="P97" s="90"/>
      <c r="Q97" s="124"/>
      <c r="R97" s="90"/>
      <c r="S97" s="90"/>
      <c r="T97" s="171"/>
      <c r="U97" s="172"/>
      <c r="V97" s="172"/>
      <c r="W97" s="128"/>
      <c r="X97" s="89"/>
      <c r="Y97" s="118"/>
      <c r="Z97" s="91"/>
      <c r="AA97" s="92"/>
      <c r="AB97" s="104"/>
      <c r="AC97" s="130"/>
      <c r="AD97" s="131"/>
      <c r="AE97" s="132"/>
      <c r="AF97" s="133"/>
      <c r="AG97" s="133"/>
      <c r="AH97" s="133"/>
      <c r="AI97" s="133"/>
      <c r="AJ97" s="133"/>
      <c r="AK97" s="133"/>
      <c r="AL97" s="133"/>
      <c r="AM97" s="133"/>
      <c r="AN97" s="133"/>
      <c r="AO97" s="133"/>
      <c r="AP97" s="133"/>
      <c r="AQ97" s="133"/>
      <c r="AR97" s="104"/>
      <c r="AS97" s="93" t="e">
        <f>#REF!</f>
        <v>#REF!</v>
      </c>
    </row>
    <row r="98" spans="1:45" s="85" customFormat="1">
      <c r="A98" s="79"/>
      <c r="B98" s="159" t="str">
        <f>IF(D98="","",#REF!)</f>
        <v/>
      </c>
      <c r="C98" s="160"/>
      <c r="D98" s="88"/>
      <c r="E98" s="115"/>
      <c r="F98" s="116"/>
      <c r="G98" s="117"/>
      <c r="H98" s="137"/>
      <c r="I98" s="118"/>
      <c r="J98" s="118"/>
      <c r="K98" s="165"/>
      <c r="L98" s="166"/>
      <c r="M98" s="155"/>
      <c r="N98" s="124"/>
      <c r="O98" s="90"/>
      <c r="P98" s="90"/>
      <c r="Q98" s="124"/>
      <c r="R98" s="90"/>
      <c r="S98" s="90"/>
      <c r="T98" s="171"/>
      <c r="U98" s="172"/>
      <c r="V98" s="172"/>
      <c r="W98" s="128"/>
      <c r="X98" s="89"/>
      <c r="Y98" s="118"/>
      <c r="Z98" s="91"/>
      <c r="AA98" s="92"/>
      <c r="AB98" s="104"/>
      <c r="AC98" s="130"/>
      <c r="AD98" s="131"/>
      <c r="AE98" s="132"/>
      <c r="AF98" s="133"/>
      <c r="AG98" s="133"/>
      <c r="AH98" s="133"/>
      <c r="AI98" s="133"/>
      <c r="AJ98" s="133"/>
      <c r="AK98" s="133"/>
      <c r="AL98" s="133"/>
      <c r="AM98" s="133"/>
      <c r="AN98" s="133"/>
      <c r="AO98" s="133"/>
      <c r="AP98" s="133"/>
      <c r="AQ98" s="133"/>
      <c r="AR98" s="104"/>
      <c r="AS98" s="93" t="e">
        <f>#REF!</f>
        <v>#REF!</v>
      </c>
    </row>
    <row r="99" spans="1:45" s="85" customFormat="1">
      <c r="A99" s="79"/>
      <c r="B99" s="159" t="str">
        <f>IF(D99="","",#REF!)</f>
        <v/>
      </c>
      <c r="C99" s="160"/>
      <c r="D99" s="88"/>
      <c r="E99" s="115"/>
      <c r="F99" s="116"/>
      <c r="G99" s="117"/>
      <c r="H99" s="137"/>
      <c r="I99" s="118"/>
      <c r="J99" s="118"/>
      <c r="K99" s="165"/>
      <c r="L99" s="166"/>
      <c r="M99" s="155"/>
      <c r="N99" s="124"/>
      <c r="O99" s="90"/>
      <c r="P99" s="90"/>
      <c r="Q99" s="124"/>
      <c r="R99" s="90"/>
      <c r="S99" s="90"/>
      <c r="T99" s="171"/>
      <c r="U99" s="172"/>
      <c r="V99" s="172"/>
      <c r="W99" s="128"/>
      <c r="X99" s="89"/>
      <c r="Y99" s="118"/>
      <c r="Z99" s="91"/>
      <c r="AA99" s="92"/>
      <c r="AB99" s="104"/>
      <c r="AC99" s="130"/>
      <c r="AD99" s="131"/>
      <c r="AE99" s="132"/>
      <c r="AF99" s="133"/>
      <c r="AG99" s="133"/>
      <c r="AH99" s="133"/>
      <c r="AI99" s="133"/>
      <c r="AJ99" s="133"/>
      <c r="AK99" s="133"/>
      <c r="AL99" s="133"/>
      <c r="AM99" s="133"/>
      <c r="AN99" s="133"/>
      <c r="AO99" s="133"/>
      <c r="AP99" s="133"/>
      <c r="AQ99" s="133"/>
      <c r="AR99" s="104"/>
      <c r="AS99" s="93" t="e">
        <f>#REF!</f>
        <v>#REF!</v>
      </c>
    </row>
    <row r="100" spans="1:45" s="85" customFormat="1">
      <c r="A100" s="79"/>
      <c r="B100" s="159" t="str">
        <f>IF(D100="","",#REF!)</f>
        <v/>
      </c>
      <c r="C100" s="160"/>
      <c r="D100" s="88"/>
      <c r="E100" s="115"/>
      <c r="F100" s="116"/>
      <c r="G100" s="117"/>
      <c r="H100" s="137"/>
      <c r="I100" s="118"/>
      <c r="J100" s="118"/>
      <c r="K100" s="165"/>
      <c r="L100" s="166"/>
      <c r="M100" s="155"/>
      <c r="N100" s="124"/>
      <c r="O100" s="90"/>
      <c r="P100" s="90"/>
      <c r="Q100" s="124"/>
      <c r="R100" s="90"/>
      <c r="S100" s="90"/>
      <c r="T100" s="171"/>
      <c r="U100" s="172"/>
      <c r="V100" s="172"/>
      <c r="W100" s="128"/>
      <c r="X100" s="89"/>
      <c r="Y100" s="118"/>
      <c r="Z100" s="91"/>
      <c r="AA100" s="92"/>
      <c r="AB100" s="104"/>
      <c r="AC100" s="130"/>
      <c r="AD100" s="131"/>
      <c r="AE100" s="132"/>
      <c r="AF100" s="133"/>
      <c r="AG100" s="133"/>
      <c r="AH100" s="133"/>
      <c r="AI100" s="133"/>
      <c r="AJ100" s="133"/>
      <c r="AK100" s="133"/>
      <c r="AL100" s="133"/>
      <c r="AM100" s="133"/>
      <c r="AN100" s="133"/>
      <c r="AO100" s="133"/>
      <c r="AP100" s="133"/>
      <c r="AQ100" s="133"/>
      <c r="AR100" s="104"/>
      <c r="AS100" s="93" t="e">
        <f>#REF!</f>
        <v>#REF!</v>
      </c>
    </row>
    <row r="101" spans="1:45" s="85" customFormat="1">
      <c r="A101" s="79"/>
      <c r="B101" s="159" t="str">
        <f>IF(D101="","",#REF!)</f>
        <v/>
      </c>
      <c r="C101" s="160"/>
      <c r="D101" s="88"/>
      <c r="E101" s="115"/>
      <c r="F101" s="116"/>
      <c r="G101" s="117"/>
      <c r="H101" s="137"/>
      <c r="I101" s="118"/>
      <c r="J101" s="118"/>
      <c r="K101" s="165"/>
      <c r="L101" s="166"/>
      <c r="M101" s="155"/>
      <c r="N101" s="124"/>
      <c r="O101" s="90"/>
      <c r="P101" s="90"/>
      <c r="Q101" s="124"/>
      <c r="R101" s="90"/>
      <c r="S101" s="90"/>
      <c r="T101" s="171"/>
      <c r="U101" s="172"/>
      <c r="V101" s="172"/>
      <c r="W101" s="128"/>
      <c r="X101" s="89"/>
      <c r="Y101" s="118"/>
      <c r="Z101" s="91"/>
      <c r="AA101" s="92"/>
      <c r="AB101" s="104"/>
      <c r="AC101" s="130"/>
      <c r="AD101" s="131"/>
      <c r="AE101" s="132"/>
      <c r="AF101" s="133"/>
      <c r="AG101" s="133"/>
      <c r="AH101" s="133"/>
      <c r="AI101" s="133"/>
      <c r="AJ101" s="133"/>
      <c r="AK101" s="133"/>
      <c r="AL101" s="133"/>
      <c r="AM101" s="133"/>
      <c r="AN101" s="133"/>
      <c r="AO101" s="133"/>
      <c r="AP101" s="133"/>
      <c r="AQ101" s="133"/>
      <c r="AR101" s="104"/>
      <c r="AS101" s="93" t="e">
        <f>#REF!</f>
        <v>#REF!</v>
      </c>
    </row>
    <row r="102" spans="1:45" s="85" customFormat="1">
      <c r="A102" s="79"/>
      <c r="B102" s="159" t="str">
        <f>IF(D102="","",#REF!)</f>
        <v/>
      </c>
      <c r="C102" s="160"/>
      <c r="D102" s="88"/>
      <c r="E102" s="115"/>
      <c r="F102" s="116"/>
      <c r="G102" s="117"/>
      <c r="H102" s="137"/>
      <c r="I102" s="118"/>
      <c r="J102" s="118"/>
      <c r="K102" s="165"/>
      <c r="L102" s="166"/>
      <c r="M102" s="155"/>
      <c r="N102" s="124"/>
      <c r="O102" s="90"/>
      <c r="P102" s="90"/>
      <c r="Q102" s="124"/>
      <c r="R102" s="90"/>
      <c r="S102" s="90"/>
      <c r="T102" s="171"/>
      <c r="U102" s="172"/>
      <c r="V102" s="172"/>
      <c r="W102" s="128"/>
      <c r="X102" s="89"/>
      <c r="Y102" s="118"/>
      <c r="Z102" s="91"/>
      <c r="AA102" s="92"/>
      <c r="AB102" s="104"/>
      <c r="AC102" s="130"/>
      <c r="AD102" s="131"/>
      <c r="AE102" s="132"/>
      <c r="AF102" s="133"/>
      <c r="AG102" s="133"/>
      <c r="AH102" s="133"/>
      <c r="AI102" s="133"/>
      <c r="AJ102" s="133"/>
      <c r="AK102" s="133"/>
      <c r="AL102" s="133"/>
      <c r="AM102" s="133"/>
      <c r="AN102" s="133"/>
      <c r="AO102" s="133"/>
      <c r="AP102" s="133"/>
      <c r="AQ102" s="133"/>
      <c r="AR102" s="104"/>
      <c r="AS102" s="93" t="e">
        <f>#REF!</f>
        <v>#REF!</v>
      </c>
    </row>
    <row r="103" spans="1:45" s="85" customFormat="1">
      <c r="A103" s="79"/>
      <c r="B103" s="159" t="str">
        <f>IF(D103="","",#REF!)</f>
        <v/>
      </c>
      <c r="C103" s="160"/>
      <c r="D103" s="88"/>
      <c r="E103" s="115"/>
      <c r="F103" s="116"/>
      <c r="G103" s="117"/>
      <c r="H103" s="137"/>
      <c r="I103" s="118"/>
      <c r="J103" s="118"/>
      <c r="K103" s="165"/>
      <c r="L103" s="166"/>
      <c r="M103" s="155"/>
      <c r="N103" s="124"/>
      <c r="O103" s="90"/>
      <c r="P103" s="90"/>
      <c r="Q103" s="124"/>
      <c r="R103" s="90"/>
      <c r="S103" s="90"/>
      <c r="T103" s="171"/>
      <c r="U103" s="172"/>
      <c r="V103" s="172"/>
      <c r="W103" s="128"/>
      <c r="X103" s="89"/>
      <c r="Y103" s="118"/>
      <c r="Z103" s="91"/>
      <c r="AA103" s="92"/>
      <c r="AB103" s="104"/>
      <c r="AC103" s="130"/>
      <c r="AD103" s="131"/>
      <c r="AE103" s="132"/>
      <c r="AF103" s="133"/>
      <c r="AG103" s="133"/>
      <c r="AH103" s="133"/>
      <c r="AI103" s="133"/>
      <c r="AJ103" s="133"/>
      <c r="AK103" s="133"/>
      <c r="AL103" s="133"/>
      <c r="AM103" s="133"/>
      <c r="AN103" s="133"/>
      <c r="AO103" s="133"/>
      <c r="AP103" s="133"/>
      <c r="AQ103" s="133"/>
      <c r="AR103" s="104"/>
      <c r="AS103" s="93" t="e">
        <f>#REF!</f>
        <v>#REF!</v>
      </c>
    </row>
    <row r="104" spans="1:45" s="85" customFormat="1">
      <c r="A104" s="79"/>
      <c r="B104" s="159" t="str">
        <f>IF(D104="","",#REF!)</f>
        <v/>
      </c>
      <c r="C104" s="160"/>
      <c r="D104" s="88"/>
      <c r="E104" s="115"/>
      <c r="F104" s="116"/>
      <c r="G104" s="117"/>
      <c r="H104" s="137"/>
      <c r="I104" s="118"/>
      <c r="J104" s="118"/>
      <c r="K104" s="165"/>
      <c r="L104" s="166"/>
      <c r="M104" s="155"/>
      <c r="N104" s="124"/>
      <c r="O104" s="90"/>
      <c r="P104" s="90"/>
      <c r="Q104" s="124"/>
      <c r="R104" s="90"/>
      <c r="S104" s="90"/>
      <c r="T104" s="171"/>
      <c r="U104" s="172"/>
      <c r="V104" s="172"/>
      <c r="W104" s="128"/>
      <c r="X104" s="89"/>
      <c r="Y104" s="118"/>
      <c r="Z104" s="91"/>
      <c r="AA104" s="92"/>
      <c r="AB104" s="104"/>
      <c r="AC104" s="130"/>
      <c r="AD104" s="131"/>
      <c r="AE104" s="132"/>
      <c r="AF104" s="133"/>
      <c r="AG104" s="133"/>
      <c r="AH104" s="133"/>
      <c r="AI104" s="133"/>
      <c r="AJ104" s="133"/>
      <c r="AK104" s="133"/>
      <c r="AL104" s="133"/>
      <c r="AM104" s="133"/>
      <c r="AN104" s="133"/>
      <c r="AO104" s="133"/>
      <c r="AP104" s="133"/>
      <c r="AQ104" s="133"/>
      <c r="AR104" s="104"/>
      <c r="AS104" s="93" t="e">
        <f>#REF!</f>
        <v>#REF!</v>
      </c>
    </row>
    <row r="105" spans="1:45" s="85" customFormat="1">
      <c r="A105" s="79"/>
      <c r="B105" s="159" t="str">
        <f>IF(D105="","",#REF!)</f>
        <v/>
      </c>
      <c r="C105" s="160"/>
      <c r="D105" s="88"/>
      <c r="E105" s="115"/>
      <c r="F105" s="116"/>
      <c r="G105" s="117"/>
      <c r="H105" s="137"/>
      <c r="I105" s="118"/>
      <c r="J105" s="118"/>
      <c r="K105" s="165"/>
      <c r="L105" s="166"/>
      <c r="M105" s="155"/>
      <c r="N105" s="124"/>
      <c r="O105" s="90"/>
      <c r="P105" s="90"/>
      <c r="Q105" s="124"/>
      <c r="R105" s="90"/>
      <c r="S105" s="90"/>
      <c r="T105" s="171"/>
      <c r="U105" s="172"/>
      <c r="V105" s="172"/>
      <c r="W105" s="128"/>
      <c r="X105" s="89"/>
      <c r="Y105" s="118"/>
      <c r="Z105" s="91"/>
      <c r="AA105" s="92"/>
      <c r="AB105" s="104"/>
      <c r="AC105" s="130"/>
      <c r="AD105" s="131"/>
      <c r="AE105" s="132"/>
      <c r="AF105" s="133"/>
      <c r="AG105" s="133"/>
      <c r="AH105" s="133"/>
      <c r="AI105" s="133"/>
      <c r="AJ105" s="133"/>
      <c r="AK105" s="133"/>
      <c r="AL105" s="133"/>
      <c r="AM105" s="133"/>
      <c r="AN105" s="133"/>
      <c r="AO105" s="133"/>
      <c r="AP105" s="133"/>
      <c r="AQ105" s="133"/>
      <c r="AR105" s="104"/>
      <c r="AS105" s="93" t="e">
        <f>#REF!</f>
        <v>#REF!</v>
      </c>
    </row>
    <row r="106" spans="1:45" s="85" customFormat="1">
      <c r="A106" s="79"/>
      <c r="B106" s="159" t="str">
        <f>IF(D106="","",#REF!)</f>
        <v/>
      </c>
      <c r="C106" s="160"/>
      <c r="D106" s="88"/>
      <c r="E106" s="115"/>
      <c r="F106" s="116"/>
      <c r="G106" s="117"/>
      <c r="H106" s="137"/>
      <c r="I106" s="118"/>
      <c r="J106" s="118"/>
      <c r="K106" s="165"/>
      <c r="L106" s="166"/>
      <c r="M106" s="155"/>
      <c r="N106" s="124"/>
      <c r="O106" s="90"/>
      <c r="P106" s="90"/>
      <c r="Q106" s="124"/>
      <c r="R106" s="90"/>
      <c r="S106" s="90"/>
      <c r="T106" s="171"/>
      <c r="U106" s="172"/>
      <c r="V106" s="172"/>
      <c r="W106" s="128"/>
      <c r="X106" s="89"/>
      <c r="Y106" s="118"/>
      <c r="Z106" s="91"/>
      <c r="AA106" s="92"/>
      <c r="AB106" s="104"/>
      <c r="AC106" s="130"/>
      <c r="AD106" s="131"/>
      <c r="AE106" s="132"/>
      <c r="AF106" s="133"/>
      <c r="AG106" s="133"/>
      <c r="AH106" s="133"/>
      <c r="AI106" s="133"/>
      <c r="AJ106" s="133"/>
      <c r="AK106" s="133"/>
      <c r="AL106" s="133"/>
      <c r="AM106" s="133"/>
      <c r="AN106" s="133"/>
      <c r="AO106" s="133"/>
      <c r="AP106" s="133"/>
      <c r="AQ106" s="133"/>
      <c r="AR106" s="104"/>
      <c r="AS106" s="93" t="e">
        <f>#REF!</f>
        <v>#REF!</v>
      </c>
    </row>
    <row r="107" spans="1:45" s="85" customFormat="1">
      <c r="A107" s="79"/>
      <c r="B107" s="159" t="str">
        <f>IF(D107="","",#REF!)</f>
        <v/>
      </c>
      <c r="C107" s="160"/>
      <c r="D107" s="88"/>
      <c r="E107" s="115"/>
      <c r="F107" s="116"/>
      <c r="G107" s="117"/>
      <c r="H107" s="137"/>
      <c r="I107" s="118"/>
      <c r="J107" s="118"/>
      <c r="K107" s="165"/>
      <c r="L107" s="166"/>
      <c r="M107" s="155"/>
      <c r="N107" s="124"/>
      <c r="O107" s="90"/>
      <c r="P107" s="90"/>
      <c r="Q107" s="124"/>
      <c r="R107" s="90"/>
      <c r="S107" s="90"/>
      <c r="T107" s="171"/>
      <c r="U107" s="172"/>
      <c r="V107" s="172"/>
      <c r="W107" s="128"/>
      <c r="X107" s="89"/>
      <c r="Y107" s="118"/>
      <c r="Z107" s="91"/>
      <c r="AA107" s="92"/>
      <c r="AB107" s="104"/>
      <c r="AC107" s="130"/>
      <c r="AD107" s="131"/>
      <c r="AE107" s="132"/>
      <c r="AF107" s="133"/>
      <c r="AG107" s="133"/>
      <c r="AH107" s="133"/>
      <c r="AI107" s="133"/>
      <c r="AJ107" s="133"/>
      <c r="AK107" s="133"/>
      <c r="AL107" s="133"/>
      <c r="AM107" s="133"/>
      <c r="AN107" s="133"/>
      <c r="AO107" s="133"/>
      <c r="AP107" s="133"/>
      <c r="AQ107" s="133"/>
      <c r="AR107" s="104"/>
      <c r="AS107" s="93" t="e">
        <f>#REF!</f>
        <v>#REF!</v>
      </c>
    </row>
    <row r="108" spans="1:45" s="85" customFormat="1">
      <c r="A108" s="79"/>
      <c r="B108" s="159" t="str">
        <f>IF(D108="","",#REF!)</f>
        <v/>
      </c>
      <c r="C108" s="160"/>
      <c r="D108" s="88"/>
      <c r="E108" s="115"/>
      <c r="F108" s="116"/>
      <c r="G108" s="117"/>
      <c r="H108" s="137"/>
      <c r="I108" s="118"/>
      <c r="J108" s="118"/>
      <c r="K108" s="165"/>
      <c r="L108" s="166"/>
      <c r="M108" s="155"/>
      <c r="N108" s="124"/>
      <c r="O108" s="90"/>
      <c r="P108" s="90"/>
      <c r="Q108" s="124"/>
      <c r="R108" s="90"/>
      <c r="S108" s="90"/>
      <c r="T108" s="171"/>
      <c r="U108" s="172"/>
      <c r="V108" s="172"/>
      <c r="W108" s="128"/>
      <c r="X108" s="89"/>
      <c r="Y108" s="118"/>
      <c r="Z108" s="91"/>
      <c r="AA108" s="92"/>
      <c r="AB108" s="104"/>
      <c r="AC108" s="130"/>
      <c r="AD108" s="131"/>
      <c r="AE108" s="132"/>
      <c r="AF108" s="133"/>
      <c r="AG108" s="133"/>
      <c r="AH108" s="133"/>
      <c r="AI108" s="133"/>
      <c r="AJ108" s="133"/>
      <c r="AK108" s="133"/>
      <c r="AL108" s="133"/>
      <c r="AM108" s="133"/>
      <c r="AN108" s="133"/>
      <c r="AO108" s="133"/>
      <c r="AP108" s="133"/>
      <c r="AQ108" s="133"/>
      <c r="AR108" s="104"/>
      <c r="AS108" s="93" t="e">
        <f>#REF!</f>
        <v>#REF!</v>
      </c>
    </row>
    <row r="109" spans="1:45" s="85" customFormat="1">
      <c r="A109" s="79"/>
      <c r="B109" s="159" t="str">
        <f>IF(D109="","",#REF!)</f>
        <v/>
      </c>
      <c r="C109" s="160"/>
      <c r="D109" s="88"/>
      <c r="E109" s="115"/>
      <c r="F109" s="116"/>
      <c r="G109" s="117"/>
      <c r="H109" s="137"/>
      <c r="I109" s="118"/>
      <c r="J109" s="118"/>
      <c r="K109" s="165"/>
      <c r="L109" s="166"/>
      <c r="M109" s="155"/>
      <c r="N109" s="124"/>
      <c r="O109" s="90"/>
      <c r="P109" s="90"/>
      <c r="Q109" s="124"/>
      <c r="R109" s="90"/>
      <c r="S109" s="90"/>
      <c r="T109" s="171"/>
      <c r="U109" s="172"/>
      <c r="V109" s="172"/>
      <c r="W109" s="128"/>
      <c r="X109" s="89"/>
      <c r="Y109" s="118"/>
      <c r="Z109" s="91"/>
      <c r="AA109" s="92"/>
      <c r="AB109" s="104"/>
      <c r="AC109" s="130"/>
      <c r="AD109" s="131"/>
      <c r="AE109" s="132"/>
      <c r="AF109" s="133"/>
      <c r="AG109" s="133"/>
      <c r="AH109" s="133"/>
      <c r="AI109" s="133"/>
      <c r="AJ109" s="133"/>
      <c r="AK109" s="133"/>
      <c r="AL109" s="133"/>
      <c r="AM109" s="133"/>
      <c r="AN109" s="133"/>
      <c r="AO109" s="133"/>
      <c r="AP109" s="133"/>
      <c r="AQ109" s="133"/>
      <c r="AR109" s="104"/>
      <c r="AS109" s="93" t="e">
        <f>#REF!</f>
        <v>#REF!</v>
      </c>
    </row>
    <row r="110" spans="1:45" s="85" customFormat="1">
      <c r="A110" s="79"/>
      <c r="B110" s="159" t="str">
        <f>IF(D110="","",#REF!)</f>
        <v/>
      </c>
      <c r="C110" s="160"/>
      <c r="D110" s="88"/>
      <c r="E110" s="115"/>
      <c r="F110" s="116"/>
      <c r="G110" s="117"/>
      <c r="H110" s="137"/>
      <c r="I110" s="118"/>
      <c r="J110" s="118"/>
      <c r="K110" s="165"/>
      <c r="L110" s="166"/>
      <c r="M110" s="155"/>
      <c r="N110" s="124"/>
      <c r="O110" s="90"/>
      <c r="P110" s="90"/>
      <c r="Q110" s="124"/>
      <c r="R110" s="90"/>
      <c r="S110" s="90"/>
      <c r="T110" s="171"/>
      <c r="U110" s="172"/>
      <c r="V110" s="172"/>
      <c r="W110" s="128"/>
      <c r="X110" s="89"/>
      <c r="Y110" s="118"/>
      <c r="Z110" s="91"/>
      <c r="AA110" s="92"/>
      <c r="AB110" s="104"/>
      <c r="AC110" s="130"/>
      <c r="AD110" s="131"/>
      <c r="AE110" s="132"/>
      <c r="AF110" s="133"/>
      <c r="AG110" s="133"/>
      <c r="AH110" s="133"/>
      <c r="AI110" s="133"/>
      <c r="AJ110" s="133"/>
      <c r="AK110" s="133"/>
      <c r="AL110" s="133"/>
      <c r="AM110" s="133"/>
      <c r="AN110" s="133"/>
      <c r="AO110" s="133"/>
      <c r="AP110" s="133"/>
      <c r="AQ110" s="133"/>
      <c r="AR110" s="104"/>
      <c r="AS110" s="93" t="e">
        <f>#REF!</f>
        <v>#REF!</v>
      </c>
    </row>
    <row r="111" spans="1:45" s="85" customFormat="1">
      <c r="A111" s="79"/>
      <c r="B111" s="159" t="str">
        <f>IF(D111="","",#REF!)</f>
        <v/>
      </c>
      <c r="C111" s="160"/>
      <c r="D111" s="88"/>
      <c r="E111" s="115"/>
      <c r="F111" s="116"/>
      <c r="G111" s="117"/>
      <c r="H111" s="137"/>
      <c r="I111" s="118"/>
      <c r="J111" s="118"/>
      <c r="K111" s="165"/>
      <c r="L111" s="166"/>
      <c r="M111" s="155"/>
      <c r="N111" s="124"/>
      <c r="O111" s="90"/>
      <c r="P111" s="90"/>
      <c r="Q111" s="124"/>
      <c r="R111" s="90"/>
      <c r="S111" s="90"/>
      <c r="T111" s="171"/>
      <c r="U111" s="172"/>
      <c r="V111" s="172"/>
      <c r="W111" s="128"/>
      <c r="X111" s="89"/>
      <c r="Y111" s="118"/>
      <c r="Z111" s="91"/>
      <c r="AA111" s="92"/>
      <c r="AB111" s="104"/>
      <c r="AC111" s="130"/>
      <c r="AD111" s="131"/>
      <c r="AE111" s="132"/>
      <c r="AF111" s="133"/>
      <c r="AG111" s="133"/>
      <c r="AH111" s="133"/>
      <c r="AI111" s="133"/>
      <c r="AJ111" s="133"/>
      <c r="AK111" s="133"/>
      <c r="AL111" s="133"/>
      <c r="AM111" s="133"/>
      <c r="AN111" s="133"/>
      <c r="AO111" s="133"/>
      <c r="AP111" s="133"/>
      <c r="AQ111" s="133"/>
      <c r="AR111" s="104"/>
      <c r="AS111" s="93" t="e">
        <f>#REF!</f>
        <v>#REF!</v>
      </c>
    </row>
    <row r="112" spans="1:45" s="85" customFormat="1">
      <c r="A112" s="79"/>
      <c r="B112" s="159" t="str">
        <f>IF(D112="","",#REF!)</f>
        <v/>
      </c>
      <c r="C112" s="160"/>
      <c r="D112" s="88"/>
      <c r="E112" s="115"/>
      <c r="F112" s="116"/>
      <c r="G112" s="117"/>
      <c r="H112" s="137"/>
      <c r="I112" s="118"/>
      <c r="J112" s="118"/>
      <c r="K112" s="165"/>
      <c r="L112" s="166"/>
      <c r="M112" s="155"/>
      <c r="N112" s="124"/>
      <c r="O112" s="90"/>
      <c r="P112" s="90"/>
      <c r="Q112" s="124"/>
      <c r="R112" s="90"/>
      <c r="S112" s="90"/>
      <c r="T112" s="171"/>
      <c r="U112" s="172"/>
      <c r="V112" s="172"/>
      <c r="W112" s="128"/>
      <c r="X112" s="89"/>
      <c r="Y112" s="118"/>
      <c r="Z112" s="91"/>
      <c r="AA112" s="92"/>
      <c r="AB112" s="104"/>
      <c r="AC112" s="130"/>
      <c r="AD112" s="131"/>
      <c r="AE112" s="132"/>
      <c r="AF112" s="133"/>
      <c r="AG112" s="133"/>
      <c r="AH112" s="133"/>
      <c r="AI112" s="133"/>
      <c r="AJ112" s="133"/>
      <c r="AK112" s="133"/>
      <c r="AL112" s="133"/>
      <c r="AM112" s="133"/>
      <c r="AN112" s="133"/>
      <c r="AO112" s="133"/>
      <c r="AP112" s="133"/>
      <c r="AQ112" s="133"/>
      <c r="AR112" s="104"/>
      <c r="AS112" s="93" t="e">
        <f>#REF!</f>
        <v>#REF!</v>
      </c>
    </row>
    <row r="113" spans="1:45" s="85" customFormat="1">
      <c r="A113" s="79"/>
      <c r="B113" s="159" t="str">
        <f>IF(D113="","",#REF!)</f>
        <v/>
      </c>
      <c r="C113" s="160"/>
      <c r="D113" s="88"/>
      <c r="E113" s="115"/>
      <c r="F113" s="116"/>
      <c r="G113" s="117"/>
      <c r="H113" s="137"/>
      <c r="I113" s="118"/>
      <c r="J113" s="118"/>
      <c r="K113" s="165"/>
      <c r="L113" s="166"/>
      <c r="M113" s="155"/>
      <c r="N113" s="124"/>
      <c r="O113" s="90"/>
      <c r="P113" s="90"/>
      <c r="Q113" s="124"/>
      <c r="R113" s="90"/>
      <c r="S113" s="90"/>
      <c r="T113" s="171"/>
      <c r="U113" s="172"/>
      <c r="V113" s="172"/>
      <c r="W113" s="128"/>
      <c r="X113" s="89"/>
      <c r="Y113" s="118"/>
      <c r="Z113" s="91"/>
      <c r="AA113" s="92"/>
      <c r="AB113" s="104"/>
      <c r="AC113" s="130"/>
      <c r="AD113" s="131"/>
      <c r="AE113" s="132"/>
      <c r="AF113" s="133"/>
      <c r="AG113" s="133"/>
      <c r="AH113" s="133"/>
      <c r="AI113" s="133"/>
      <c r="AJ113" s="133"/>
      <c r="AK113" s="133"/>
      <c r="AL113" s="133"/>
      <c r="AM113" s="133"/>
      <c r="AN113" s="133"/>
      <c r="AO113" s="133"/>
      <c r="AP113" s="133"/>
      <c r="AQ113" s="133"/>
      <c r="AR113" s="104"/>
      <c r="AS113" s="93" t="e">
        <f>#REF!</f>
        <v>#REF!</v>
      </c>
    </row>
    <row r="114" spans="1:45" s="85" customFormat="1">
      <c r="A114" s="79"/>
      <c r="B114" s="159" t="str">
        <f>IF(D114="","",#REF!)</f>
        <v/>
      </c>
      <c r="C114" s="160"/>
      <c r="D114" s="88"/>
      <c r="E114" s="115"/>
      <c r="F114" s="116"/>
      <c r="G114" s="117"/>
      <c r="H114" s="137"/>
      <c r="I114" s="118"/>
      <c r="J114" s="118"/>
      <c r="K114" s="165"/>
      <c r="L114" s="166"/>
      <c r="M114" s="155"/>
      <c r="N114" s="124"/>
      <c r="O114" s="90"/>
      <c r="P114" s="90"/>
      <c r="Q114" s="124"/>
      <c r="R114" s="90"/>
      <c r="S114" s="90"/>
      <c r="T114" s="171"/>
      <c r="U114" s="172"/>
      <c r="V114" s="172"/>
      <c r="W114" s="128"/>
      <c r="X114" s="89"/>
      <c r="Y114" s="118"/>
      <c r="Z114" s="91"/>
      <c r="AA114" s="92"/>
      <c r="AB114" s="104"/>
      <c r="AC114" s="130"/>
      <c r="AD114" s="131"/>
      <c r="AE114" s="132"/>
      <c r="AF114" s="133"/>
      <c r="AG114" s="133"/>
      <c r="AH114" s="133"/>
      <c r="AI114" s="133"/>
      <c r="AJ114" s="133"/>
      <c r="AK114" s="133"/>
      <c r="AL114" s="133"/>
      <c r="AM114" s="133"/>
      <c r="AN114" s="133"/>
      <c r="AO114" s="133"/>
      <c r="AP114" s="133"/>
      <c r="AQ114" s="133"/>
      <c r="AR114" s="104"/>
      <c r="AS114" s="93" t="e">
        <f>#REF!</f>
        <v>#REF!</v>
      </c>
    </row>
    <row r="115" spans="1:45" s="85" customFormat="1">
      <c r="A115" s="79"/>
      <c r="B115" s="159" t="str">
        <f>IF(D115="","",#REF!)</f>
        <v/>
      </c>
      <c r="C115" s="160"/>
      <c r="D115" s="88"/>
      <c r="E115" s="115"/>
      <c r="F115" s="116"/>
      <c r="G115" s="117"/>
      <c r="H115" s="137"/>
      <c r="I115" s="118"/>
      <c r="J115" s="118"/>
      <c r="K115" s="165"/>
      <c r="L115" s="166"/>
      <c r="M115" s="155"/>
      <c r="N115" s="124"/>
      <c r="O115" s="90"/>
      <c r="P115" s="90"/>
      <c r="Q115" s="124"/>
      <c r="R115" s="90"/>
      <c r="S115" s="90"/>
      <c r="T115" s="171"/>
      <c r="U115" s="172"/>
      <c r="V115" s="172"/>
      <c r="W115" s="128"/>
      <c r="X115" s="89"/>
      <c r="Y115" s="118"/>
      <c r="Z115" s="91"/>
      <c r="AA115" s="92"/>
      <c r="AB115" s="104"/>
      <c r="AC115" s="130"/>
      <c r="AD115" s="131"/>
      <c r="AE115" s="132"/>
      <c r="AF115" s="133"/>
      <c r="AG115" s="133"/>
      <c r="AH115" s="133"/>
      <c r="AI115" s="133"/>
      <c r="AJ115" s="133"/>
      <c r="AK115" s="133"/>
      <c r="AL115" s="133"/>
      <c r="AM115" s="133"/>
      <c r="AN115" s="133"/>
      <c r="AO115" s="133"/>
      <c r="AP115" s="133"/>
      <c r="AQ115" s="133"/>
      <c r="AR115" s="104"/>
      <c r="AS115" s="93" t="e">
        <f>#REF!</f>
        <v>#REF!</v>
      </c>
    </row>
    <row r="116" spans="1:45" s="85" customFormat="1">
      <c r="A116" s="79"/>
      <c r="B116" s="159" t="str">
        <f>IF(D116="","",#REF!)</f>
        <v/>
      </c>
      <c r="C116" s="160"/>
      <c r="D116" s="88"/>
      <c r="E116" s="115"/>
      <c r="F116" s="116"/>
      <c r="G116" s="117"/>
      <c r="H116" s="137"/>
      <c r="I116" s="118"/>
      <c r="J116" s="118"/>
      <c r="K116" s="165"/>
      <c r="L116" s="166"/>
      <c r="M116" s="155"/>
      <c r="N116" s="124"/>
      <c r="O116" s="90"/>
      <c r="P116" s="90"/>
      <c r="Q116" s="124"/>
      <c r="R116" s="90"/>
      <c r="S116" s="90"/>
      <c r="T116" s="171"/>
      <c r="U116" s="172"/>
      <c r="V116" s="172"/>
      <c r="W116" s="128"/>
      <c r="X116" s="89"/>
      <c r="Y116" s="118"/>
      <c r="Z116" s="91"/>
      <c r="AA116" s="92"/>
      <c r="AB116" s="104"/>
      <c r="AC116" s="130"/>
      <c r="AD116" s="131"/>
      <c r="AE116" s="132"/>
      <c r="AF116" s="133"/>
      <c r="AG116" s="133"/>
      <c r="AH116" s="133"/>
      <c r="AI116" s="133"/>
      <c r="AJ116" s="133"/>
      <c r="AK116" s="133"/>
      <c r="AL116" s="133"/>
      <c r="AM116" s="133"/>
      <c r="AN116" s="133"/>
      <c r="AO116" s="133"/>
      <c r="AP116" s="133"/>
      <c r="AQ116" s="133"/>
      <c r="AR116" s="104"/>
      <c r="AS116" s="93" t="e">
        <f>#REF!</f>
        <v>#REF!</v>
      </c>
    </row>
    <row r="117" spans="1:45" s="85" customFormat="1">
      <c r="A117" s="79"/>
      <c r="B117" s="159" t="str">
        <f>IF(D117="","",#REF!)</f>
        <v/>
      </c>
      <c r="C117" s="160"/>
      <c r="D117" s="88"/>
      <c r="E117" s="115"/>
      <c r="F117" s="116"/>
      <c r="G117" s="117"/>
      <c r="H117" s="137"/>
      <c r="I117" s="118"/>
      <c r="J117" s="118"/>
      <c r="K117" s="165"/>
      <c r="L117" s="166"/>
      <c r="M117" s="155"/>
      <c r="N117" s="124"/>
      <c r="O117" s="90"/>
      <c r="P117" s="90"/>
      <c r="Q117" s="124"/>
      <c r="R117" s="90"/>
      <c r="S117" s="90"/>
      <c r="T117" s="171"/>
      <c r="U117" s="172"/>
      <c r="V117" s="172"/>
      <c r="W117" s="128"/>
      <c r="X117" s="89"/>
      <c r="Y117" s="118"/>
      <c r="Z117" s="91"/>
      <c r="AA117" s="92"/>
      <c r="AB117" s="104"/>
      <c r="AC117" s="130"/>
      <c r="AD117" s="131"/>
      <c r="AE117" s="132"/>
      <c r="AF117" s="133"/>
      <c r="AG117" s="133"/>
      <c r="AH117" s="133"/>
      <c r="AI117" s="133"/>
      <c r="AJ117" s="133"/>
      <c r="AK117" s="133"/>
      <c r="AL117" s="133"/>
      <c r="AM117" s="133"/>
      <c r="AN117" s="133"/>
      <c r="AO117" s="133"/>
      <c r="AP117" s="133"/>
      <c r="AQ117" s="133"/>
      <c r="AR117" s="104"/>
      <c r="AS117" s="93" t="e">
        <f>#REF!</f>
        <v>#REF!</v>
      </c>
    </row>
    <row r="118" spans="1:45" s="85" customFormat="1">
      <c r="A118" s="79"/>
      <c r="B118" s="159" t="str">
        <f>IF(D118="","",#REF!)</f>
        <v/>
      </c>
      <c r="C118" s="160"/>
      <c r="D118" s="88"/>
      <c r="E118" s="115"/>
      <c r="F118" s="116"/>
      <c r="G118" s="117"/>
      <c r="H118" s="137"/>
      <c r="I118" s="118"/>
      <c r="J118" s="118"/>
      <c r="K118" s="165"/>
      <c r="L118" s="166"/>
      <c r="M118" s="155"/>
      <c r="N118" s="124"/>
      <c r="O118" s="90"/>
      <c r="P118" s="90"/>
      <c r="Q118" s="124"/>
      <c r="R118" s="90"/>
      <c r="S118" s="90"/>
      <c r="T118" s="171"/>
      <c r="U118" s="172"/>
      <c r="V118" s="172"/>
      <c r="W118" s="128"/>
      <c r="X118" s="89"/>
      <c r="Y118" s="118"/>
      <c r="Z118" s="91"/>
      <c r="AA118" s="92"/>
      <c r="AB118" s="104"/>
      <c r="AC118" s="130"/>
      <c r="AD118" s="131"/>
      <c r="AE118" s="132"/>
      <c r="AF118" s="133"/>
      <c r="AG118" s="133"/>
      <c r="AH118" s="133"/>
      <c r="AI118" s="133"/>
      <c r="AJ118" s="133"/>
      <c r="AK118" s="133"/>
      <c r="AL118" s="133"/>
      <c r="AM118" s="133"/>
      <c r="AN118" s="133"/>
      <c r="AO118" s="133"/>
      <c r="AP118" s="133"/>
      <c r="AQ118" s="133"/>
      <c r="AR118" s="104"/>
      <c r="AS118" s="93" t="e">
        <f>#REF!</f>
        <v>#REF!</v>
      </c>
    </row>
    <row r="119" spans="1:45" s="85" customFormat="1">
      <c r="A119" s="79"/>
      <c r="B119" s="159" t="str">
        <f>IF(D119="","",#REF!)</f>
        <v/>
      </c>
      <c r="C119" s="160"/>
      <c r="D119" s="88"/>
      <c r="E119" s="115"/>
      <c r="F119" s="116"/>
      <c r="G119" s="117"/>
      <c r="H119" s="137"/>
      <c r="I119" s="118"/>
      <c r="J119" s="118"/>
      <c r="K119" s="165"/>
      <c r="L119" s="166"/>
      <c r="M119" s="155"/>
      <c r="N119" s="124"/>
      <c r="O119" s="90"/>
      <c r="P119" s="90"/>
      <c r="Q119" s="124"/>
      <c r="R119" s="90"/>
      <c r="S119" s="90"/>
      <c r="T119" s="171"/>
      <c r="U119" s="172"/>
      <c r="V119" s="172"/>
      <c r="W119" s="128"/>
      <c r="X119" s="89"/>
      <c r="Y119" s="118"/>
      <c r="Z119" s="91"/>
      <c r="AA119" s="92"/>
      <c r="AB119" s="104"/>
      <c r="AC119" s="130"/>
      <c r="AD119" s="131"/>
      <c r="AE119" s="132"/>
      <c r="AF119" s="133"/>
      <c r="AG119" s="133"/>
      <c r="AH119" s="133"/>
      <c r="AI119" s="133"/>
      <c r="AJ119" s="133"/>
      <c r="AK119" s="133"/>
      <c r="AL119" s="133"/>
      <c r="AM119" s="133"/>
      <c r="AN119" s="133"/>
      <c r="AO119" s="133"/>
      <c r="AP119" s="133"/>
      <c r="AQ119" s="133"/>
      <c r="AR119" s="104"/>
      <c r="AS119" s="93" t="e">
        <f>#REF!</f>
        <v>#REF!</v>
      </c>
    </row>
    <row r="120" spans="1:45" s="85" customFormat="1">
      <c r="A120" s="79"/>
      <c r="B120" s="159" t="str">
        <f>IF(D120="","",#REF!)</f>
        <v/>
      </c>
      <c r="C120" s="160"/>
      <c r="D120" s="88"/>
      <c r="E120" s="115"/>
      <c r="F120" s="116"/>
      <c r="G120" s="117"/>
      <c r="H120" s="137"/>
      <c r="I120" s="118"/>
      <c r="J120" s="118"/>
      <c r="K120" s="165"/>
      <c r="L120" s="166"/>
      <c r="M120" s="155"/>
      <c r="N120" s="124"/>
      <c r="O120" s="90"/>
      <c r="P120" s="90"/>
      <c r="Q120" s="124"/>
      <c r="R120" s="90"/>
      <c r="S120" s="90"/>
      <c r="T120" s="171"/>
      <c r="U120" s="172"/>
      <c r="V120" s="172"/>
      <c r="W120" s="128"/>
      <c r="X120" s="89"/>
      <c r="Y120" s="118"/>
      <c r="Z120" s="91"/>
      <c r="AA120" s="92"/>
      <c r="AB120" s="104"/>
      <c r="AC120" s="130"/>
      <c r="AD120" s="131"/>
      <c r="AE120" s="132"/>
      <c r="AF120" s="133"/>
      <c r="AG120" s="133"/>
      <c r="AH120" s="133"/>
      <c r="AI120" s="133"/>
      <c r="AJ120" s="133"/>
      <c r="AK120" s="133"/>
      <c r="AL120" s="133"/>
      <c r="AM120" s="133"/>
      <c r="AN120" s="133"/>
      <c r="AO120" s="133"/>
      <c r="AP120" s="133"/>
      <c r="AQ120" s="133"/>
      <c r="AR120" s="104"/>
      <c r="AS120" s="93" t="e">
        <f>#REF!</f>
        <v>#REF!</v>
      </c>
    </row>
    <row r="121" spans="1:45" s="85" customFormat="1">
      <c r="A121" s="79"/>
      <c r="B121" s="159" t="str">
        <f>IF(D121="","",#REF!)</f>
        <v/>
      </c>
      <c r="C121" s="160"/>
      <c r="D121" s="88"/>
      <c r="E121" s="115"/>
      <c r="F121" s="116"/>
      <c r="G121" s="117"/>
      <c r="H121" s="137"/>
      <c r="I121" s="118"/>
      <c r="J121" s="118"/>
      <c r="K121" s="165"/>
      <c r="L121" s="166"/>
      <c r="M121" s="155"/>
      <c r="N121" s="124"/>
      <c r="O121" s="90"/>
      <c r="P121" s="90"/>
      <c r="Q121" s="124"/>
      <c r="R121" s="90"/>
      <c r="S121" s="90"/>
      <c r="T121" s="171"/>
      <c r="U121" s="172"/>
      <c r="V121" s="172"/>
      <c r="W121" s="128"/>
      <c r="X121" s="89"/>
      <c r="Y121" s="118"/>
      <c r="Z121" s="91"/>
      <c r="AA121" s="92"/>
      <c r="AB121" s="104"/>
      <c r="AC121" s="130"/>
      <c r="AD121" s="131"/>
      <c r="AE121" s="132"/>
      <c r="AF121" s="133"/>
      <c r="AG121" s="133"/>
      <c r="AH121" s="133"/>
      <c r="AI121" s="133"/>
      <c r="AJ121" s="133"/>
      <c r="AK121" s="133"/>
      <c r="AL121" s="133"/>
      <c r="AM121" s="133"/>
      <c r="AN121" s="133"/>
      <c r="AO121" s="133"/>
      <c r="AP121" s="133"/>
      <c r="AQ121" s="133"/>
      <c r="AR121" s="104"/>
      <c r="AS121" s="93" t="e">
        <f>#REF!</f>
        <v>#REF!</v>
      </c>
    </row>
    <row r="122" spans="1:45" s="85" customFormat="1">
      <c r="A122" s="79"/>
      <c r="B122" s="159" t="str">
        <f>IF(D122="","",#REF!)</f>
        <v/>
      </c>
      <c r="C122" s="160"/>
      <c r="D122" s="88"/>
      <c r="E122" s="115"/>
      <c r="F122" s="116"/>
      <c r="G122" s="117"/>
      <c r="H122" s="137"/>
      <c r="I122" s="118"/>
      <c r="J122" s="118"/>
      <c r="K122" s="165"/>
      <c r="L122" s="166"/>
      <c r="M122" s="155"/>
      <c r="N122" s="124"/>
      <c r="O122" s="90"/>
      <c r="P122" s="90"/>
      <c r="Q122" s="124"/>
      <c r="R122" s="90"/>
      <c r="S122" s="90"/>
      <c r="T122" s="171"/>
      <c r="U122" s="172"/>
      <c r="V122" s="172"/>
      <c r="W122" s="128"/>
      <c r="X122" s="89"/>
      <c r="Y122" s="118"/>
      <c r="Z122" s="91"/>
      <c r="AA122" s="92"/>
      <c r="AB122" s="104"/>
      <c r="AC122" s="130"/>
      <c r="AD122" s="131"/>
      <c r="AE122" s="132"/>
      <c r="AF122" s="133"/>
      <c r="AG122" s="133"/>
      <c r="AH122" s="133"/>
      <c r="AI122" s="133"/>
      <c r="AJ122" s="133"/>
      <c r="AK122" s="133"/>
      <c r="AL122" s="133"/>
      <c r="AM122" s="133"/>
      <c r="AN122" s="133"/>
      <c r="AO122" s="133"/>
      <c r="AP122" s="133"/>
      <c r="AQ122" s="133"/>
      <c r="AR122" s="104"/>
      <c r="AS122" s="93" t="e">
        <f>#REF!</f>
        <v>#REF!</v>
      </c>
    </row>
    <row r="123" spans="1:45" s="85" customFormat="1">
      <c r="A123" s="79"/>
      <c r="B123" s="159" t="str">
        <f>IF(D123="","",#REF!)</f>
        <v/>
      </c>
      <c r="C123" s="160"/>
      <c r="D123" s="88"/>
      <c r="E123" s="115"/>
      <c r="F123" s="116"/>
      <c r="G123" s="117"/>
      <c r="H123" s="137"/>
      <c r="I123" s="118"/>
      <c r="J123" s="118"/>
      <c r="K123" s="165"/>
      <c r="L123" s="166"/>
      <c r="M123" s="155"/>
      <c r="N123" s="124"/>
      <c r="O123" s="90"/>
      <c r="P123" s="90"/>
      <c r="Q123" s="124"/>
      <c r="R123" s="90"/>
      <c r="S123" s="90"/>
      <c r="T123" s="171"/>
      <c r="U123" s="172"/>
      <c r="V123" s="172"/>
      <c r="W123" s="128"/>
      <c r="X123" s="89"/>
      <c r="Y123" s="118"/>
      <c r="Z123" s="91"/>
      <c r="AA123" s="92"/>
      <c r="AB123" s="104"/>
      <c r="AC123" s="130"/>
      <c r="AD123" s="131"/>
      <c r="AE123" s="132"/>
      <c r="AF123" s="133"/>
      <c r="AG123" s="133"/>
      <c r="AH123" s="133"/>
      <c r="AI123" s="133"/>
      <c r="AJ123" s="133"/>
      <c r="AK123" s="133"/>
      <c r="AL123" s="133"/>
      <c r="AM123" s="133"/>
      <c r="AN123" s="133"/>
      <c r="AO123" s="133"/>
      <c r="AP123" s="133"/>
      <c r="AQ123" s="133"/>
      <c r="AR123" s="104"/>
      <c r="AS123" s="93" t="e">
        <f>#REF!</f>
        <v>#REF!</v>
      </c>
    </row>
    <row r="124" spans="1:45" s="85" customFormat="1">
      <c r="A124" s="79"/>
      <c r="B124" s="159" t="str">
        <f>IF(D124="","",#REF!)</f>
        <v/>
      </c>
      <c r="C124" s="160"/>
      <c r="D124" s="88"/>
      <c r="E124" s="115"/>
      <c r="F124" s="116"/>
      <c r="G124" s="117"/>
      <c r="H124" s="137"/>
      <c r="I124" s="118"/>
      <c r="J124" s="118"/>
      <c r="K124" s="165"/>
      <c r="L124" s="166"/>
      <c r="M124" s="155"/>
      <c r="N124" s="124"/>
      <c r="O124" s="90"/>
      <c r="P124" s="90"/>
      <c r="Q124" s="124"/>
      <c r="R124" s="90"/>
      <c r="S124" s="90"/>
      <c r="T124" s="171"/>
      <c r="U124" s="172"/>
      <c r="V124" s="172"/>
      <c r="W124" s="128"/>
      <c r="X124" s="89"/>
      <c r="Y124" s="118"/>
      <c r="Z124" s="91"/>
      <c r="AA124" s="92"/>
      <c r="AB124" s="104"/>
      <c r="AC124" s="130"/>
      <c r="AD124" s="131"/>
      <c r="AE124" s="132"/>
      <c r="AF124" s="133"/>
      <c r="AG124" s="133"/>
      <c r="AH124" s="133"/>
      <c r="AI124" s="133"/>
      <c r="AJ124" s="133"/>
      <c r="AK124" s="133"/>
      <c r="AL124" s="133"/>
      <c r="AM124" s="133"/>
      <c r="AN124" s="133"/>
      <c r="AO124" s="133"/>
      <c r="AP124" s="133"/>
      <c r="AQ124" s="133"/>
      <c r="AR124" s="104"/>
      <c r="AS124" s="93" t="e">
        <f>#REF!</f>
        <v>#REF!</v>
      </c>
    </row>
    <row r="125" spans="1:45" s="85" customFormat="1">
      <c r="A125" s="79"/>
      <c r="B125" s="159" t="str">
        <f>IF(D125="","",#REF!)</f>
        <v/>
      </c>
      <c r="C125" s="160"/>
      <c r="D125" s="88"/>
      <c r="E125" s="115"/>
      <c r="F125" s="116"/>
      <c r="G125" s="117"/>
      <c r="H125" s="137"/>
      <c r="I125" s="118"/>
      <c r="J125" s="118"/>
      <c r="K125" s="165"/>
      <c r="L125" s="166"/>
      <c r="M125" s="155"/>
      <c r="N125" s="124"/>
      <c r="O125" s="90"/>
      <c r="P125" s="90"/>
      <c r="Q125" s="124"/>
      <c r="R125" s="90"/>
      <c r="S125" s="90"/>
      <c r="T125" s="171"/>
      <c r="U125" s="172"/>
      <c r="V125" s="172"/>
      <c r="W125" s="128"/>
      <c r="X125" s="89"/>
      <c r="Y125" s="118"/>
      <c r="Z125" s="91"/>
      <c r="AA125" s="92"/>
      <c r="AB125" s="104"/>
      <c r="AC125" s="130"/>
      <c r="AD125" s="131"/>
      <c r="AE125" s="132"/>
      <c r="AF125" s="133"/>
      <c r="AG125" s="133"/>
      <c r="AH125" s="133"/>
      <c r="AI125" s="133"/>
      <c r="AJ125" s="133"/>
      <c r="AK125" s="133"/>
      <c r="AL125" s="133"/>
      <c r="AM125" s="133"/>
      <c r="AN125" s="133"/>
      <c r="AO125" s="133"/>
      <c r="AP125" s="133"/>
      <c r="AQ125" s="133"/>
      <c r="AR125" s="104"/>
      <c r="AS125" s="93" t="e">
        <f>#REF!</f>
        <v>#REF!</v>
      </c>
    </row>
    <row r="126" spans="1:45" s="85" customFormat="1">
      <c r="A126" s="79"/>
      <c r="B126" s="159" t="str">
        <f>IF(D126="","",#REF!)</f>
        <v/>
      </c>
      <c r="C126" s="160"/>
      <c r="D126" s="88"/>
      <c r="E126" s="115"/>
      <c r="F126" s="116"/>
      <c r="G126" s="117"/>
      <c r="H126" s="137"/>
      <c r="I126" s="118"/>
      <c r="J126" s="118"/>
      <c r="K126" s="165"/>
      <c r="L126" s="166"/>
      <c r="M126" s="155"/>
      <c r="N126" s="124"/>
      <c r="O126" s="90"/>
      <c r="P126" s="90"/>
      <c r="Q126" s="124"/>
      <c r="R126" s="90"/>
      <c r="S126" s="90"/>
      <c r="T126" s="171"/>
      <c r="U126" s="172"/>
      <c r="V126" s="172"/>
      <c r="W126" s="128"/>
      <c r="X126" s="89"/>
      <c r="Y126" s="118"/>
      <c r="Z126" s="91"/>
      <c r="AA126" s="92"/>
      <c r="AB126" s="104"/>
      <c r="AC126" s="130"/>
      <c r="AD126" s="131"/>
      <c r="AE126" s="132"/>
      <c r="AF126" s="133"/>
      <c r="AG126" s="133"/>
      <c r="AH126" s="133"/>
      <c r="AI126" s="133"/>
      <c r="AJ126" s="133"/>
      <c r="AK126" s="133"/>
      <c r="AL126" s="133"/>
      <c r="AM126" s="133"/>
      <c r="AN126" s="133"/>
      <c r="AO126" s="133"/>
      <c r="AP126" s="133"/>
      <c r="AQ126" s="133"/>
      <c r="AR126" s="104"/>
      <c r="AS126" s="93" t="e">
        <f>#REF!</f>
        <v>#REF!</v>
      </c>
    </row>
    <row r="127" spans="1:45" s="85" customFormat="1">
      <c r="A127" s="79"/>
      <c r="B127" s="159" t="str">
        <f>IF(D127="","",#REF!)</f>
        <v/>
      </c>
      <c r="C127" s="160"/>
      <c r="D127" s="88"/>
      <c r="E127" s="115"/>
      <c r="F127" s="116"/>
      <c r="G127" s="117"/>
      <c r="H127" s="137"/>
      <c r="I127" s="118"/>
      <c r="J127" s="118"/>
      <c r="K127" s="165"/>
      <c r="L127" s="166"/>
      <c r="M127" s="155"/>
      <c r="N127" s="124"/>
      <c r="O127" s="90"/>
      <c r="P127" s="90"/>
      <c r="Q127" s="124"/>
      <c r="R127" s="90"/>
      <c r="S127" s="90"/>
      <c r="T127" s="171"/>
      <c r="U127" s="172"/>
      <c r="V127" s="172"/>
      <c r="W127" s="128"/>
      <c r="X127" s="89"/>
      <c r="Y127" s="118"/>
      <c r="Z127" s="91"/>
      <c r="AA127" s="92"/>
      <c r="AB127" s="104"/>
      <c r="AC127" s="130"/>
      <c r="AD127" s="131"/>
      <c r="AE127" s="132"/>
      <c r="AF127" s="133"/>
      <c r="AG127" s="133"/>
      <c r="AH127" s="133"/>
      <c r="AI127" s="133"/>
      <c r="AJ127" s="133"/>
      <c r="AK127" s="133"/>
      <c r="AL127" s="133"/>
      <c r="AM127" s="133"/>
      <c r="AN127" s="133"/>
      <c r="AO127" s="133"/>
      <c r="AP127" s="133"/>
      <c r="AQ127" s="133"/>
      <c r="AR127" s="104"/>
      <c r="AS127" s="93" t="e">
        <f>#REF!</f>
        <v>#REF!</v>
      </c>
    </row>
    <row r="128" spans="1:45" s="85" customFormat="1">
      <c r="A128" s="79"/>
      <c r="B128" s="159" t="str">
        <f>IF(D128="","",#REF!)</f>
        <v/>
      </c>
      <c r="C128" s="160"/>
      <c r="D128" s="88"/>
      <c r="E128" s="115"/>
      <c r="F128" s="116"/>
      <c r="G128" s="117"/>
      <c r="H128" s="137"/>
      <c r="I128" s="118"/>
      <c r="J128" s="118"/>
      <c r="K128" s="165"/>
      <c r="L128" s="166"/>
      <c r="M128" s="155"/>
      <c r="N128" s="124"/>
      <c r="O128" s="90"/>
      <c r="P128" s="90"/>
      <c r="Q128" s="124"/>
      <c r="R128" s="90"/>
      <c r="S128" s="90"/>
      <c r="T128" s="171"/>
      <c r="U128" s="172"/>
      <c r="V128" s="172"/>
      <c r="W128" s="128"/>
      <c r="X128" s="89"/>
      <c r="Y128" s="118"/>
      <c r="Z128" s="91"/>
      <c r="AA128" s="92"/>
      <c r="AB128" s="104"/>
      <c r="AC128" s="130"/>
      <c r="AD128" s="131"/>
      <c r="AE128" s="132"/>
      <c r="AF128" s="133"/>
      <c r="AG128" s="133"/>
      <c r="AH128" s="133"/>
      <c r="AI128" s="133"/>
      <c r="AJ128" s="133"/>
      <c r="AK128" s="133"/>
      <c r="AL128" s="133"/>
      <c r="AM128" s="133"/>
      <c r="AN128" s="133"/>
      <c r="AO128" s="133"/>
      <c r="AP128" s="133"/>
      <c r="AQ128" s="133"/>
      <c r="AR128" s="104"/>
      <c r="AS128" s="93" t="e">
        <f>#REF!</f>
        <v>#REF!</v>
      </c>
    </row>
    <row r="129" spans="1:45" s="85" customFormat="1">
      <c r="A129" s="79"/>
      <c r="B129" s="159" t="str">
        <f>IF(D129="","",#REF!)</f>
        <v/>
      </c>
      <c r="C129" s="160"/>
      <c r="D129" s="88"/>
      <c r="E129" s="115"/>
      <c r="F129" s="116"/>
      <c r="G129" s="117"/>
      <c r="H129" s="137"/>
      <c r="I129" s="118"/>
      <c r="J129" s="118"/>
      <c r="K129" s="165"/>
      <c r="L129" s="166"/>
      <c r="M129" s="155"/>
      <c r="N129" s="124"/>
      <c r="O129" s="90"/>
      <c r="P129" s="90"/>
      <c r="Q129" s="124"/>
      <c r="R129" s="90"/>
      <c r="S129" s="90"/>
      <c r="T129" s="171"/>
      <c r="U129" s="172"/>
      <c r="V129" s="172"/>
      <c r="W129" s="128"/>
      <c r="X129" s="89"/>
      <c r="Y129" s="118"/>
      <c r="Z129" s="91"/>
      <c r="AA129" s="92"/>
      <c r="AB129" s="104"/>
      <c r="AC129" s="130"/>
      <c r="AD129" s="131"/>
      <c r="AE129" s="132"/>
      <c r="AF129" s="133"/>
      <c r="AG129" s="133"/>
      <c r="AH129" s="133"/>
      <c r="AI129" s="133"/>
      <c r="AJ129" s="133"/>
      <c r="AK129" s="133"/>
      <c r="AL129" s="133"/>
      <c r="AM129" s="133"/>
      <c r="AN129" s="133"/>
      <c r="AO129" s="133"/>
      <c r="AP129" s="133"/>
      <c r="AQ129" s="133"/>
      <c r="AR129" s="104"/>
      <c r="AS129" s="93" t="e">
        <f>#REF!</f>
        <v>#REF!</v>
      </c>
    </row>
    <row r="130" spans="1:45" s="85" customFormat="1">
      <c r="A130" s="79"/>
      <c r="B130" s="159" t="str">
        <f>IF(D130="","",#REF!)</f>
        <v/>
      </c>
      <c r="C130" s="160"/>
      <c r="D130" s="88"/>
      <c r="E130" s="115"/>
      <c r="F130" s="116"/>
      <c r="G130" s="117"/>
      <c r="H130" s="137"/>
      <c r="I130" s="118"/>
      <c r="J130" s="118"/>
      <c r="K130" s="165"/>
      <c r="L130" s="166"/>
      <c r="M130" s="155"/>
      <c r="N130" s="124"/>
      <c r="O130" s="90"/>
      <c r="P130" s="90"/>
      <c r="Q130" s="124"/>
      <c r="R130" s="90"/>
      <c r="S130" s="90"/>
      <c r="T130" s="171"/>
      <c r="U130" s="172"/>
      <c r="V130" s="172"/>
      <c r="W130" s="128"/>
      <c r="X130" s="89"/>
      <c r="Y130" s="118"/>
      <c r="Z130" s="91"/>
      <c r="AA130" s="92"/>
      <c r="AB130" s="104"/>
      <c r="AC130" s="130"/>
      <c r="AD130" s="131"/>
      <c r="AE130" s="132"/>
      <c r="AF130" s="133"/>
      <c r="AG130" s="133"/>
      <c r="AH130" s="133"/>
      <c r="AI130" s="133"/>
      <c r="AJ130" s="133"/>
      <c r="AK130" s="133"/>
      <c r="AL130" s="133"/>
      <c r="AM130" s="133"/>
      <c r="AN130" s="133"/>
      <c r="AO130" s="133"/>
      <c r="AP130" s="133"/>
      <c r="AQ130" s="133"/>
      <c r="AR130" s="104"/>
      <c r="AS130" s="93" t="e">
        <f>#REF!</f>
        <v>#REF!</v>
      </c>
    </row>
    <row r="131" spans="1:45" s="85" customFormat="1">
      <c r="A131" s="79"/>
      <c r="B131" s="159" t="str">
        <f>IF(D131="","",#REF!)</f>
        <v/>
      </c>
      <c r="C131" s="160"/>
      <c r="D131" s="88"/>
      <c r="E131" s="115"/>
      <c r="F131" s="116"/>
      <c r="G131" s="117"/>
      <c r="H131" s="137"/>
      <c r="I131" s="118"/>
      <c r="J131" s="118"/>
      <c r="K131" s="165"/>
      <c r="L131" s="166"/>
      <c r="M131" s="155"/>
      <c r="N131" s="124"/>
      <c r="O131" s="90"/>
      <c r="P131" s="90"/>
      <c r="Q131" s="124"/>
      <c r="R131" s="90"/>
      <c r="S131" s="90"/>
      <c r="T131" s="171"/>
      <c r="U131" s="172"/>
      <c r="V131" s="172"/>
      <c r="W131" s="128"/>
      <c r="X131" s="89"/>
      <c r="Y131" s="118"/>
      <c r="Z131" s="91"/>
      <c r="AA131" s="92"/>
      <c r="AB131" s="104"/>
      <c r="AC131" s="130"/>
      <c r="AD131" s="131"/>
      <c r="AE131" s="132"/>
      <c r="AF131" s="133"/>
      <c r="AG131" s="133"/>
      <c r="AH131" s="133"/>
      <c r="AI131" s="133"/>
      <c r="AJ131" s="133"/>
      <c r="AK131" s="133"/>
      <c r="AL131" s="133"/>
      <c r="AM131" s="133"/>
      <c r="AN131" s="133"/>
      <c r="AO131" s="133"/>
      <c r="AP131" s="133"/>
      <c r="AQ131" s="133"/>
      <c r="AR131" s="104"/>
      <c r="AS131" s="93" t="e">
        <f>#REF!</f>
        <v>#REF!</v>
      </c>
    </row>
    <row r="132" spans="1:45" s="85" customFormat="1">
      <c r="A132" s="79"/>
      <c r="B132" s="159" t="str">
        <f>IF(D132="","",#REF!)</f>
        <v/>
      </c>
      <c r="C132" s="160"/>
      <c r="D132" s="88"/>
      <c r="E132" s="115"/>
      <c r="F132" s="116"/>
      <c r="G132" s="117"/>
      <c r="H132" s="137"/>
      <c r="I132" s="118"/>
      <c r="J132" s="118"/>
      <c r="K132" s="165"/>
      <c r="L132" s="166"/>
      <c r="M132" s="155"/>
      <c r="N132" s="124"/>
      <c r="O132" s="90"/>
      <c r="P132" s="90"/>
      <c r="Q132" s="124"/>
      <c r="R132" s="90"/>
      <c r="S132" s="90"/>
      <c r="T132" s="171"/>
      <c r="U132" s="172"/>
      <c r="V132" s="172"/>
      <c r="W132" s="128"/>
      <c r="X132" s="89"/>
      <c r="Y132" s="118"/>
      <c r="Z132" s="91"/>
      <c r="AA132" s="92"/>
      <c r="AB132" s="104"/>
      <c r="AC132" s="130"/>
      <c r="AD132" s="131"/>
      <c r="AE132" s="132"/>
      <c r="AF132" s="133"/>
      <c r="AG132" s="133"/>
      <c r="AH132" s="133"/>
      <c r="AI132" s="133"/>
      <c r="AJ132" s="133"/>
      <c r="AK132" s="133"/>
      <c r="AL132" s="133"/>
      <c r="AM132" s="133"/>
      <c r="AN132" s="133"/>
      <c r="AO132" s="133"/>
      <c r="AP132" s="133"/>
      <c r="AQ132" s="133"/>
      <c r="AR132" s="104"/>
      <c r="AS132" s="93" t="e">
        <f>#REF!</f>
        <v>#REF!</v>
      </c>
    </row>
    <row r="133" spans="1:45" s="85" customFormat="1">
      <c r="A133" s="79"/>
      <c r="B133" s="159" t="str">
        <f>IF(D133="","",#REF!)</f>
        <v/>
      </c>
      <c r="C133" s="160"/>
      <c r="D133" s="88"/>
      <c r="E133" s="115"/>
      <c r="F133" s="116"/>
      <c r="G133" s="117"/>
      <c r="H133" s="137"/>
      <c r="I133" s="118"/>
      <c r="J133" s="118"/>
      <c r="K133" s="165"/>
      <c r="L133" s="166"/>
      <c r="M133" s="155"/>
      <c r="N133" s="124"/>
      <c r="O133" s="90"/>
      <c r="P133" s="90"/>
      <c r="Q133" s="124"/>
      <c r="R133" s="90"/>
      <c r="S133" s="90"/>
      <c r="T133" s="171"/>
      <c r="U133" s="172"/>
      <c r="V133" s="172"/>
      <c r="W133" s="128"/>
      <c r="X133" s="89"/>
      <c r="Y133" s="118"/>
      <c r="Z133" s="91"/>
      <c r="AA133" s="92"/>
      <c r="AB133" s="104"/>
      <c r="AC133" s="130"/>
      <c r="AD133" s="131"/>
      <c r="AE133" s="132"/>
      <c r="AF133" s="133"/>
      <c r="AG133" s="133"/>
      <c r="AH133" s="133"/>
      <c r="AI133" s="133"/>
      <c r="AJ133" s="133"/>
      <c r="AK133" s="133"/>
      <c r="AL133" s="133"/>
      <c r="AM133" s="133"/>
      <c r="AN133" s="133"/>
      <c r="AO133" s="133"/>
      <c r="AP133" s="133"/>
      <c r="AQ133" s="133"/>
      <c r="AR133" s="104"/>
      <c r="AS133" s="93" t="e">
        <f>#REF!</f>
        <v>#REF!</v>
      </c>
    </row>
    <row r="134" spans="1:45" s="85" customFormat="1">
      <c r="A134" s="79"/>
      <c r="B134" s="159" t="str">
        <f>IF(D134="","",#REF!)</f>
        <v/>
      </c>
      <c r="C134" s="160"/>
      <c r="D134" s="88"/>
      <c r="E134" s="115"/>
      <c r="F134" s="116"/>
      <c r="G134" s="117"/>
      <c r="H134" s="137"/>
      <c r="I134" s="118"/>
      <c r="J134" s="118"/>
      <c r="K134" s="165"/>
      <c r="L134" s="166"/>
      <c r="M134" s="155"/>
      <c r="N134" s="124"/>
      <c r="O134" s="90"/>
      <c r="P134" s="90"/>
      <c r="Q134" s="124"/>
      <c r="R134" s="90"/>
      <c r="S134" s="90"/>
      <c r="T134" s="171"/>
      <c r="U134" s="172"/>
      <c r="V134" s="172"/>
      <c r="W134" s="128"/>
      <c r="X134" s="89"/>
      <c r="Y134" s="118"/>
      <c r="Z134" s="91"/>
      <c r="AA134" s="92"/>
      <c r="AB134" s="104"/>
      <c r="AC134" s="130"/>
      <c r="AD134" s="131"/>
      <c r="AE134" s="132"/>
      <c r="AF134" s="133"/>
      <c r="AG134" s="133"/>
      <c r="AH134" s="133"/>
      <c r="AI134" s="133"/>
      <c r="AJ134" s="133"/>
      <c r="AK134" s="133"/>
      <c r="AL134" s="133"/>
      <c r="AM134" s="133"/>
      <c r="AN134" s="133"/>
      <c r="AO134" s="133"/>
      <c r="AP134" s="133"/>
      <c r="AQ134" s="133"/>
      <c r="AR134" s="104"/>
      <c r="AS134" s="93" t="e">
        <f>#REF!</f>
        <v>#REF!</v>
      </c>
    </row>
    <row r="135" spans="1:45" s="85" customFormat="1">
      <c r="A135" s="79"/>
      <c r="B135" s="159" t="str">
        <f>IF(D135="","",#REF!)</f>
        <v/>
      </c>
      <c r="C135" s="160"/>
      <c r="D135" s="88"/>
      <c r="E135" s="115"/>
      <c r="F135" s="116"/>
      <c r="G135" s="117"/>
      <c r="H135" s="137"/>
      <c r="I135" s="118"/>
      <c r="J135" s="118"/>
      <c r="K135" s="165"/>
      <c r="L135" s="166"/>
      <c r="M135" s="155"/>
      <c r="N135" s="124"/>
      <c r="O135" s="90"/>
      <c r="P135" s="90"/>
      <c r="Q135" s="124"/>
      <c r="R135" s="90"/>
      <c r="S135" s="90"/>
      <c r="T135" s="171"/>
      <c r="U135" s="172"/>
      <c r="V135" s="172"/>
      <c r="W135" s="128"/>
      <c r="X135" s="89"/>
      <c r="Y135" s="118"/>
      <c r="Z135" s="91"/>
      <c r="AA135" s="92"/>
      <c r="AB135" s="104"/>
      <c r="AC135" s="130"/>
      <c r="AD135" s="131"/>
      <c r="AE135" s="132"/>
      <c r="AF135" s="133"/>
      <c r="AG135" s="133"/>
      <c r="AH135" s="133"/>
      <c r="AI135" s="133"/>
      <c r="AJ135" s="133"/>
      <c r="AK135" s="133"/>
      <c r="AL135" s="133"/>
      <c r="AM135" s="133"/>
      <c r="AN135" s="133"/>
      <c r="AO135" s="133"/>
      <c r="AP135" s="133"/>
      <c r="AQ135" s="133"/>
      <c r="AR135" s="104"/>
      <c r="AS135" s="93" t="e">
        <f>#REF!</f>
        <v>#REF!</v>
      </c>
    </row>
    <row r="136" spans="1:45" s="85" customFormat="1">
      <c r="A136" s="79"/>
      <c r="B136" s="159" t="str">
        <f>IF(D136="","",#REF!)</f>
        <v/>
      </c>
      <c r="C136" s="160"/>
      <c r="D136" s="88"/>
      <c r="E136" s="115"/>
      <c r="F136" s="116"/>
      <c r="G136" s="117"/>
      <c r="H136" s="137"/>
      <c r="I136" s="118"/>
      <c r="J136" s="118"/>
      <c r="K136" s="165"/>
      <c r="L136" s="166"/>
      <c r="M136" s="155"/>
      <c r="N136" s="124"/>
      <c r="O136" s="90"/>
      <c r="P136" s="90"/>
      <c r="Q136" s="124"/>
      <c r="R136" s="90"/>
      <c r="S136" s="90"/>
      <c r="T136" s="171"/>
      <c r="U136" s="172"/>
      <c r="V136" s="172"/>
      <c r="W136" s="128"/>
      <c r="X136" s="89"/>
      <c r="Y136" s="118"/>
      <c r="Z136" s="91"/>
      <c r="AA136" s="92"/>
      <c r="AB136" s="104"/>
      <c r="AC136" s="130"/>
      <c r="AD136" s="131"/>
      <c r="AE136" s="132"/>
      <c r="AF136" s="133"/>
      <c r="AG136" s="133"/>
      <c r="AH136" s="133"/>
      <c r="AI136" s="133"/>
      <c r="AJ136" s="133"/>
      <c r="AK136" s="133"/>
      <c r="AL136" s="133"/>
      <c r="AM136" s="133"/>
      <c r="AN136" s="133"/>
      <c r="AO136" s="133"/>
      <c r="AP136" s="133"/>
      <c r="AQ136" s="133"/>
      <c r="AR136" s="104"/>
      <c r="AS136" s="93" t="e">
        <f>#REF!</f>
        <v>#REF!</v>
      </c>
    </row>
    <row r="137" spans="1:45" s="85" customFormat="1">
      <c r="A137" s="79"/>
      <c r="B137" s="159" t="str">
        <f>IF(D137="","",#REF!)</f>
        <v/>
      </c>
      <c r="C137" s="160"/>
      <c r="D137" s="88"/>
      <c r="E137" s="115"/>
      <c r="F137" s="116"/>
      <c r="G137" s="117"/>
      <c r="H137" s="137"/>
      <c r="I137" s="118"/>
      <c r="J137" s="118"/>
      <c r="K137" s="165"/>
      <c r="L137" s="166"/>
      <c r="M137" s="155"/>
      <c r="N137" s="124"/>
      <c r="O137" s="90"/>
      <c r="P137" s="90"/>
      <c r="Q137" s="124"/>
      <c r="R137" s="90"/>
      <c r="S137" s="90"/>
      <c r="T137" s="171"/>
      <c r="U137" s="172"/>
      <c r="V137" s="172"/>
      <c r="W137" s="128"/>
      <c r="X137" s="89"/>
      <c r="Y137" s="118"/>
      <c r="Z137" s="91"/>
      <c r="AA137" s="92"/>
      <c r="AB137" s="104"/>
      <c r="AC137" s="130"/>
      <c r="AD137" s="131"/>
      <c r="AE137" s="132"/>
      <c r="AF137" s="133"/>
      <c r="AG137" s="133"/>
      <c r="AH137" s="133"/>
      <c r="AI137" s="133"/>
      <c r="AJ137" s="133"/>
      <c r="AK137" s="133"/>
      <c r="AL137" s="133"/>
      <c r="AM137" s="133"/>
      <c r="AN137" s="133"/>
      <c r="AO137" s="133"/>
      <c r="AP137" s="133"/>
      <c r="AQ137" s="133"/>
      <c r="AR137" s="104"/>
      <c r="AS137" s="93" t="e">
        <f>#REF!</f>
        <v>#REF!</v>
      </c>
    </row>
    <row r="138" spans="1:45" s="85" customFormat="1">
      <c r="A138" s="79"/>
      <c r="B138" s="159" t="str">
        <f>IF(D138="","",#REF!)</f>
        <v/>
      </c>
      <c r="C138" s="160"/>
      <c r="D138" s="88"/>
      <c r="E138" s="115"/>
      <c r="F138" s="116"/>
      <c r="G138" s="117"/>
      <c r="H138" s="137"/>
      <c r="I138" s="118"/>
      <c r="J138" s="118"/>
      <c r="K138" s="165"/>
      <c r="L138" s="166"/>
      <c r="M138" s="155"/>
      <c r="N138" s="124"/>
      <c r="O138" s="90"/>
      <c r="P138" s="90"/>
      <c r="Q138" s="124"/>
      <c r="R138" s="90"/>
      <c r="S138" s="90"/>
      <c r="T138" s="171"/>
      <c r="U138" s="172"/>
      <c r="V138" s="172"/>
      <c r="W138" s="128"/>
      <c r="X138" s="89"/>
      <c r="Y138" s="118"/>
      <c r="Z138" s="91"/>
      <c r="AA138" s="92"/>
      <c r="AB138" s="104"/>
      <c r="AC138" s="130"/>
      <c r="AD138" s="131"/>
      <c r="AE138" s="132"/>
      <c r="AF138" s="133"/>
      <c r="AG138" s="133"/>
      <c r="AH138" s="133"/>
      <c r="AI138" s="133"/>
      <c r="AJ138" s="133"/>
      <c r="AK138" s="133"/>
      <c r="AL138" s="133"/>
      <c r="AM138" s="133"/>
      <c r="AN138" s="133"/>
      <c r="AO138" s="133"/>
      <c r="AP138" s="133"/>
      <c r="AQ138" s="133"/>
      <c r="AR138" s="104"/>
      <c r="AS138" s="93" t="e">
        <f>#REF!</f>
        <v>#REF!</v>
      </c>
    </row>
    <row r="139" spans="1:45" s="85" customFormat="1">
      <c r="A139" s="79"/>
      <c r="B139" s="159" t="str">
        <f>IF(D139="","",#REF!)</f>
        <v/>
      </c>
      <c r="C139" s="160"/>
      <c r="D139" s="88"/>
      <c r="E139" s="115"/>
      <c r="F139" s="116"/>
      <c r="G139" s="117"/>
      <c r="H139" s="137"/>
      <c r="I139" s="118"/>
      <c r="J139" s="118"/>
      <c r="K139" s="165"/>
      <c r="L139" s="166"/>
      <c r="M139" s="155"/>
      <c r="N139" s="124"/>
      <c r="O139" s="90"/>
      <c r="P139" s="90"/>
      <c r="Q139" s="124"/>
      <c r="R139" s="90"/>
      <c r="S139" s="90"/>
      <c r="T139" s="171"/>
      <c r="U139" s="172"/>
      <c r="V139" s="172"/>
      <c r="W139" s="128"/>
      <c r="X139" s="89"/>
      <c r="Y139" s="118"/>
      <c r="Z139" s="91"/>
      <c r="AA139" s="92"/>
      <c r="AB139" s="104"/>
      <c r="AC139" s="130"/>
      <c r="AD139" s="131"/>
      <c r="AE139" s="132"/>
      <c r="AF139" s="133"/>
      <c r="AG139" s="133"/>
      <c r="AH139" s="133"/>
      <c r="AI139" s="133"/>
      <c r="AJ139" s="133"/>
      <c r="AK139" s="133"/>
      <c r="AL139" s="133"/>
      <c r="AM139" s="133"/>
      <c r="AN139" s="133"/>
      <c r="AO139" s="133"/>
      <c r="AP139" s="133"/>
      <c r="AQ139" s="133"/>
      <c r="AR139" s="104"/>
      <c r="AS139" s="93" t="e">
        <f>#REF!</f>
        <v>#REF!</v>
      </c>
    </row>
    <row r="140" spans="1:45" s="85" customFormat="1">
      <c r="A140" s="79"/>
      <c r="B140" s="159" t="str">
        <f>IF(D140="","",#REF!)</f>
        <v/>
      </c>
      <c r="C140" s="160"/>
      <c r="D140" s="88"/>
      <c r="E140" s="115"/>
      <c r="F140" s="116"/>
      <c r="G140" s="117"/>
      <c r="H140" s="137"/>
      <c r="I140" s="118"/>
      <c r="J140" s="118"/>
      <c r="K140" s="165"/>
      <c r="L140" s="166"/>
      <c r="M140" s="155"/>
      <c r="N140" s="124"/>
      <c r="O140" s="90"/>
      <c r="P140" s="90"/>
      <c r="Q140" s="124"/>
      <c r="R140" s="90"/>
      <c r="S140" s="90"/>
      <c r="T140" s="171"/>
      <c r="U140" s="172"/>
      <c r="V140" s="172"/>
      <c r="W140" s="128"/>
      <c r="X140" s="89"/>
      <c r="Y140" s="118"/>
      <c r="Z140" s="91"/>
      <c r="AA140" s="92"/>
      <c r="AB140" s="104"/>
      <c r="AC140" s="130"/>
      <c r="AD140" s="131"/>
      <c r="AE140" s="132"/>
      <c r="AF140" s="133"/>
      <c r="AG140" s="133"/>
      <c r="AH140" s="133"/>
      <c r="AI140" s="133"/>
      <c r="AJ140" s="133"/>
      <c r="AK140" s="133"/>
      <c r="AL140" s="133"/>
      <c r="AM140" s="133"/>
      <c r="AN140" s="133"/>
      <c r="AO140" s="133"/>
      <c r="AP140" s="133"/>
      <c r="AQ140" s="133"/>
      <c r="AR140" s="104"/>
      <c r="AS140" s="93" t="e">
        <f>#REF!</f>
        <v>#REF!</v>
      </c>
    </row>
    <row r="141" spans="1:45" s="85" customFormat="1">
      <c r="A141" s="79"/>
      <c r="B141" s="159" t="str">
        <f>IF(D141="","",#REF!)</f>
        <v/>
      </c>
      <c r="C141" s="160"/>
      <c r="D141" s="88"/>
      <c r="E141" s="115"/>
      <c r="F141" s="116"/>
      <c r="G141" s="117"/>
      <c r="H141" s="137"/>
      <c r="I141" s="118"/>
      <c r="J141" s="118"/>
      <c r="K141" s="165"/>
      <c r="L141" s="166"/>
      <c r="M141" s="155"/>
      <c r="N141" s="124"/>
      <c r="O141" s="90"/>
      <c r="P141" s="90"/>
      <c r="Q141" s="124"/>
      <c r="R141" s="90"/>
      <c r="S141" s="90"/>
      <c r="T141" s="171"/>
      <c r="U141" s="172"/>
      <c r="V141" s="172"/>
      <c r="W141" s="128"/>
      <c r="X141" s="89"/>
      <c r="Y141" s="118"/>
      <c r="Z141" s="91"/>
      <c r="AA141" s="92"/>
      <c r="AB141" s="104"/>
      <c r="AC141" s="130"/>
      <c r="AD141" s="131"/>
      <c r="AE141" s="132"/>
      <c r="AF141" s="133"/>
      <c r="AG141" s="133"/>
      <c r="AH141" s="133"/>
      <c r="AI141" s="133"/>
      <c r="AJ141" s="133"/>
      <c r="AK141" s="133"/>
      <c r="AL141" s="133"/>
      <c r="AM141" s="133"/>
      <c r="AN141" s="133"/>
      <c r="AO141" s="133"/>
      <c r="AP141" s="133"/>
      <c r="AQ141" s="133"/>
      <c r="AR141" s="104"/>
      <c r="AS141" s="93" t="e">
        <f>#REF!</f>
        <v>#REF!</v>
      </c>
    </row>
    <row r="142" spans="1:45" s="85" customFormat="1">
      <c r="A142" s="79"/>
      <c r="B142" s="159" t="str">
        <f>IF(D142="","",#REF!)</f>
        <v/>
      </c>
      <c r="C142" s="160"/>
      <c r="D142" s="88"/>
      <c r="E142" s="115"/>
      <c r="F142" s="116"/>
      <c r="G142" s="117"/>
      <c r="H142" s="137"/>
      <c r="I142" s="118"/>
      <c r="J142" s="118"/>
      <c r="K142" s="165"/>
      <c r="L142" s="166"/>
      <c r="M142" s="155"/>
      <c r="N142" s="124"/>
      <c r="O142" s="90"/>
      <c r="P142" s="90"/>
      <c r="Q142" s="124"/>
      <c r="R142" s="90"/>
      <c r="S142" s="90"/>
      <c r="T142" s="171"/>
      <c r="U142" s="172"/>
      <c r="V142" s="172"/>
      <c r="W142" s="128"/>
      <c r="X142" s="89"/>
      <c r="Y142" s="118"/>
      <c r="Z142" s="91"/>
      <c r="AA142" s="92"/>
      <c r="AB142" s="104"/>
      <c r="AC142" s="130"/>
      <c r="AD142" s="131"/>
      <c r="AE142" s="132"/>
      <c r="AF142" s="133"/>
      <c r="AG142" s="133"/>
      <c r="AH142" s="133"/>
      <c r="AI142" s="133"/>
      <c r="AJ142" s="133"/>
      <c r="AK142" s="133"/>
      <c r="AL142" s="133"/>
      <c r="AM142" s="133"/>
      <c r="AN142" s="133"/>
      <c r="AO142" s="133"/>
      <c r="AP142" s="133"/>
      <c r="AQ142" s="133"/>
      <c r="AR142" s="104"/>
      <c r="AS142" s="93" t="e">
        <f>#REF!</f>
        <v>#REF!</v>
      </c>
    </row>
    <row r="143" spans="1:45" s="85" customFormat="1">
      <c r="A143" s="79"/>
      <c r="B143" s="159" t="str">
        <f>IF(D143="","",#REF!)</f>
        <v/>
      </c>
      <c r="C143" s="160"/>
      <c r="D143" s="88"/>
      <c r="E143" s="115"/>
      <c r="F143" s="116"/>
      <c r="G143" s="117"/>
      <c r="H143" s="137"/>
      <c r="I143" s="118"/>
      <c r="J143" s="118"/>
      <c r="K143" s="165"/>
      <c r="L143" s="166"/>
      <c r="M143" s="155"/>
      <c r="N143" s="124"/>
      <c r="O143" s="90"/>
      <c r="P143" s="90"/>
      <c r="Q143" s="124"/>
      <c r="R143" s="90"/>
      <c r="S143" s="90"/>
      <c r="T143" s="171"/>
      <c r="U143" s="172"/>
      <c r="V143" s="172"/>
      <c r="W143" s="128"/>
      <c r="X143" s="89"/>
      <c r="Y143" s="118"/>
      <c r="Z143" s="91"/>
      <c r="AA143" s="92"/>
      <c r="AB143" s="104"/>
      <c r="AC143" s="130"/>
      <c r="AD143" s="131"/>
      <c r="AE143" s="132"/>
      <c r="AF143" s="133"/>
      <c r="AG143" s="133"/>
      <c r="AH143" s="133"/>
      <c r="AI143" s="133"/>
      <c r="AJ143" s="133"/>
      <c r="AK143" s="133"/>
      <c r="AL143" s="133"/>
      <c r="AM143" s="133"/>
      <c r="AN143" s="133"/>
      <c r="AO143" s="133"/>
      <c r="AP143" s="133"/>
      <c r="AQ143" s="133"/>
      <c r="AR143" s="104"/>
      <c r="AS143" s="93" t="e">
        <f>#REF!</f>
        <v>#REF!</v>
      </c>
    </row>
    <row r="144" spans="1:45" s="85" customFormat="1">
      <c r="A144" s="79"/>
      <c r="B144" s="159" t="str">
        <f>IF(D144="","",#REF!)</f>
        <v/>
      </c>
      <c r="C144" s="160"/>
      <c r="D144" s="88"/>
      <c r="E144" s="115"/>
      <c r="F144" s="116"/>
      <c r="G144" s="117"/>
      <c r="H144" s="137"/>
      <c r="I144" s="118"/>
      <c r="J144" s="118"/>
      <c r="K144" s="165"/>
      <c r="L144" s="166"/>
      <c r="M144" s="155"/>
      <c r="N144" s="124"/>
      <c r="O144" s="90"/>
      <c r="P144" s="90"/>
      <c r="Q144" s="124"/>
      <c r="R144" s="90"/>
      <c r="S144" s="90"/>
      <c r="T144" s="171"/>
      <c r="U144" s="172"/>
      <c r="V144" s="172"/>
      <c r="W144" s="128"/>
      <c r="X144" s="89"/>
      <c r="Y144" s="118"/>
      <c r="Z144" s="91"/>
      <c r="AA144" s="92"/>
      <c r="AB144" s="104"/>
      <c r="AC144" s="130"/>
      <c r="AD144" s="131"/>
      <c r="AE144" s="132"/>
      <c r="AF144" s="133"/>
      <c r="AG144" s="133"/>
      <c r="AH144" s="133"/>
      <c r="AI144" s="133"/>
      <c r="AJ144" s="133"/>
      <c r="AK144" s="133"/>
      <c r="AL144" s="133"/>
      <c r="AM144" s="133"/>
      <c r="AN144" s="133"/>
      <c r="AO144" s="133"/>
      <c r="AP144" s="133"/>
      <c r="AQ144" s="133"/>
      <c r="AR144" s="104"/>
      <c r="AS144" s="93" t="e">
        <f>#REF!</f>
        <v>#REF!</v>
      </c>
    </row>
    <row r="145" spans="1:45" s="85" customFormat="1">
      <c r="A145" s="79"/>
      <c r="B145" s="159" t="str">
        <f>IF(D145="","",#REF!)</f>
        <v/>
      </c>
      <c r="C145" s="160"/>
      <c r="D145" s="88"/>
      <c r="E145" s="115"/>
      <c r="F145" s="116"/>
      <c r="G145" s="117"/>
      <c r="H145" s="137"/>
      <c r="I145" s="118"/>
      <c r="J145" s="118"/>
      <c r="K145" s="165"/>
      <c r="L145" s="166"/>
      <c r="M145" s="155"/>
      <c r="N145" s="124"/>
      <c r="O145" s="90"/>
      <c r="P145" s="90"/>
      <c r="Q145" s="124"/>
      <c r="R145" s="90"/>
      <c r="S145" s="90"/>
      <c r="T145" s="171"/>
      <c r="U145" s="172"/>
      <c r="V145" s="172"/>
      <c r="W145" s="128"/>
      <c r="X145" s="89"/>
      <c r="Y145" s="118"/>
      <c r="Z145" s="91"/>
      <c r="AA145" s="92"/>
      <c r="AB145" s="104"/>
      <c r="AC145" s="130"/>
      <c r="AD145" s="131"/>
      <c r="AE145" s="132"/>
      <c r="AF145" s="133"/>
      <c r="AG145" s="133"/>
      <c r="AH145" s="133"/>
      <c r="AI145" s="133"/>
      <c r="AJ145" s="133"/>
      <c r="AK145" s="133"/>
      <c r="AL145" s="133"/>
      <c r="AM145" s="133"/>
      <c r="AN145" s="133"/>
      <c r="AO145" s="133"/>
      <c r="AP145" s="133"/>
      <c r="AQ145" s="133"/>
      <c r="AR145" s="104"/>
      <c r="AS145" s="93" t="e">
        <f>#REF!</f>
        <v>#REF!</v>
      </c>
    </row>
    <row r="146" spans="1:45" s="85" customFormat="1">
      <c r="A146" s="79"/>
      <c r="B146" s="159" t="str">
        <f>IF(D146="","",#REF!)</f>
        <v/>
      </c>
      <c r="C146" s="160"/>
      <c r="D146" s="88"/>
      <c r="E146" s="115"/>
      <c r="F146" s="116"/>
      <c r="G146" s="117"/>
      <c r="H146" s="137"/>
      <c r="I146" s="118"/>
      <c r="J146" s="118"/>
      <c r="K146" s="165"/>
      <c r="L146" s="166"/>
      <c r="M146" s="155"/>
      <c r="N146" s="124"/>
      <c r="O146" s="90"/>
      <c r="P146" s="90"/>
      <c r="Q146" s="124"/>
      <c r="R146" s="90"/>
      <c r="S146" s="90"/>
      <c r="T146" s="171"/>
      <c r="U146" s="172"/>
      <c r="V146" s="172"/>
      <c r="W146" s="128"/>
      <c r="X146" s="89"/>
      <c r="Y146" s="118"/>
      <c r="Z146" s="91"/>
      <c r="AA146" s="92"/>
      <c r="AB146" s="104"/>
      <c r="AC146" s="130"/>
      <c r="AD146" s="131"/>
      <c r="AE146" s="132"/>
      <c r="AF146" s="133"/>
      <c r="AG146" s="133"/>
      <c r="AH146" s="133"/>
      <c r="AI146" s="133"/>
      <c r="AJ146" s="133"/>
      <c r="AK146" s="133"/>
      <c r="AL146" s="133"/>
      <c r="AM146" s="133"/>
      <c r="AN146" s="133"/>
      <c r="AO146" s="133"/>
      <c r="AP146" s="133"/>
      <c r="AQ146" s="133"/>
      <c r="AR146" s="104"/>
      <c r="AS146" s="93" t="e">
        <f>#REF!</f>
        <v>#REF!</v>
      </c>
    </row>
    <row r="147" spans="1:45" s="85" customFormat="1">
      <c r="A147" s="79"/>
      <c r="B147" s="159" t="str">
        <f>IF(D147="","",#REF!)</f>
        <v/>
      </c>
      <c r="C147" s="160"/>
      <c r="D147" s="88"/>
      <c r="E147" s="115"/>
      <c r="F147" s="116"/>
      <c r="G147" s="117"/>
      <c r="H147" s="137"/>
      <c r="I147" s="118"/>
      <c r="J147" s="118"/>
      <c r="K147" s="165"/>
      <c r="L147" s="166"/>
      <c r="M147" s="155"/>
      <c r="N147" s="124"/>
      <c r="O147" s="90"/>
      <c r="P147" s="90"/>
      <c r="Q147" s="124"/>
      <c r="R147" s="90"/>
      <c r="S147" s="90"/>
      <c r="T147" s="171"/>
      <c r="U147" s="172"/>
      <c r="V147" s="172"/>
      <c r="W147" s="128"/>
      <c r="X147" s="89"/>
      <c r="Y147" s="118"/>
      <c r="Z147" s="91"/>
      <c r="AA147" s="92"/>
      <c r="AB147" s="104"/>
      <c r="AC147" s="130"/>
      <c r="AD147" s="131"/>
      <c r="AE147" s="132"/>
      <c r="AF147" s="133"/>
      <c r="AG147" s="133"/>
      <c r="AH147" s="133"/>
      <c r="AI147" s="133"/>
      <c r="AJ147" s="133"/>
      <c r="AK147" s="133"/>
      <c r="AL147" s="133"/>
      <c r="AM147" s="133"/>
      <c r="AN147" s="133"/>
      <c r="AO147" s="133"/>
      <c r="AP147" s="133"/>
      <c r="AQ147" s="133"/>
      <c r="AR147" s="104"/>
      <c r="AS147" s="93" t="e">
        <f>#REF!</f>
        <v>#REF!</v>
      </c>
    </row>
    <row r="148" spans="1:45" s="85" customFormat="1">
      <c r="A148" s="79"/>
      <c r="B148" s="159" t="str">
        <f>IF(D148="","",#REF!)</f>
        <v/>
      </c>
      <c r="C148" s="160"/>
      <c r="D148" s="88"/>
      <c r="E148" s="115"/>
      <c r="F148" s="116"/>
      <c r="G148" s="117"/>
      <c r="H148" s="137"/>
      <c r="I148" s="118"/>
      <c r="J148" s="118"/>
      <c r="K148" s="165"/>
      <c r="L148" s="166"/>
      <c r="M148" s="155"/>
      <c r="N148" s="124"/>
      <c r="O148" s="90"/>
      <c r="P148" s="90"/>
      <c r="Q148" s="124"/>
      <c r="R148" s="90"/>
      <c r="S148" s="90"/>
      <c r="T148" s="171"/>
      <c r="U148" s="172"/>
      <c r="V148" s="172"/>
      <c r="W148" s="128"/>
      <c r="X148" s="89"/>
      <c r="Y148" s="118"/>
      <c r="Z148" s="91"/>
      <c r="AA148" s="92"/>
      <c r="AB148" s="104"/>
      <c r="AC148" s="130"/>
      <c r="AD148" s="131"/>
      <c r="AE148" s="132"/>
      <c r="AF148" s="133"/>
      <c r="AG148" s="133"/>
      <c r="AH148" s="133"/>
      <c r="AI148" s="133"/>
      <c r="AJ148" s="133"/>
      <c r="AK148" s="133"/>
      <c r="AL148" s="133"/>
      <c r="AM148" s="133"/>
      <c r="AN148" s="133"/>
      <c r="AO148" s="133"/>
      <c r="AP148" s="133"/>
      <c r="AQ148" s="133"/>
      <c r="AR148" s="104"/>
      <c r="AS148" s="93" t="e">
        <f>#REF!</f>
        <v>#REF!</v>
      </c>
    </row>
    <row r="149" spans="1:45" s="85" customFormat="1">
      <c r="A149" s="79"/>
      <c r="B149" s="159" t="str">
        <f>IF(D149="","",#REF!)</f>
        <v/>
      </c>
      <c r="C149" s="160"/>
      <c r="D149" s="88"/>
      <c r="E149" s="115"/>
      <c r="F149" s="116"/>
      <c r="G149" s="117"/>
      <c r="H149" s="137"/>
      <c r="I149" s="118"/>
      <c r="J149" s="118"/>
      <c r="K149" s="165"/>
      <c r="L149" s="166"/>
      <c r="M149" s="155"/>
      <c r="N149" s="124"/>
      <c r="O149" s="90"/>
      <c r="P149" s="90"/>
      <c r="Q149" s="124"/>
      <c r="R149" s="90"/>
      <c r="S149" s="90"/>
      <c r="T149" s="171"/>
      <c r="U149" s="172"/>
      <c r="V149" s="172"/>
      <c r="W149" s="128"/>
      <c r="X149" s="89"/>
      <c r="Y149" s="118"/>
      <c r="Z149" s="91"/>
      <c r="AA149" s="92"/>
      <c r="AB149" s="104"/>
      <c r="AC149" s="130"/>
      <c r="AD149" s="131"/>
      <c r="AE149" s="132"/>
      <c r="AF149" s="133"/>
      <c r="AG149" s="133"/>
      <c r="AH149" s="133"/>
      <c r="AI149" s="133"/>
      <c r="AJ149" s="133"/>
      <c r="AK149" s="133"/>
      <c r="AL149" s="133"/>
      <c r="AM149" s="133"/>
      <c r="AN149" s="133"/>
      <c r="AO149" s="133"/>
      <c r="AP149" s="133"/>
      <c r="AQ149" s="133"/>
      <c r="AR149" s="104"/>
      <c r="AS149" s="93" t="e">
        <f>#REF!</f>
        <v>#REF!</v>
      </c>
    </row>
    <row r="150" spans="1:45" s="85" customFormat="1">
      <c r="A150" s="79"/>
      <c r="B150" s="159" t="str">
        <f>IF(D150="","",#REF!)</f>
        <v/>
      </c>
      <c r="C150" s="160"/>
      <c r="D150" s="88"/>
      <c r="E150" s="115"/>
      <c r="F150" s="116"/>
      <c r="G150" s="117"/>
      <c r="H150" s="137"/>
      <c r="I150" s="118"/>
      <c r="J150" s="118"/>
      <c r="K150" s="165"/>
      <c r="L150" s="166"/>
      <c r="M150" s="155"/>
      <c r="N150" s="124"/>
      <c r="O150" s="90"/>
      <c r="P150" s="90"/>
      <c r="Q150" s="124"/>
      <c r="R150" s="90"/>
      <c r="S150" s="90"/>
      <c r="T150" s="171"/>
      <c r="U150" s="172"/>
      <c r="V150" s="172"/>
      <c r="W150" s="128"/>
      <c r="X150" s="89"/>
      <c r="Y150" s="118"/>
      <c r="Z150" s="91"/>
      <c r="AA150" s="92"/>
      <c r="AB150" s="104"/>
      <c r="AC150" s="130"/>
      <c r="AD150" s="131"/>
      <c r="AE150" s="132"/>
      <c r="AF150" s="133"/>
      <c r="AG150" s="133"/>
      <c r="AH150" s="133"/>
      <c r="AI150" s="133"/>
      <c r="AJ150" s="133"/>
      <c r="AK150" s="133"/>
      <c r="AL150" s="133"/>
      <c r="AM150" s="133"/>
      <c r="AN150" s="133"/>
      <c r="AO150" s="133"/>
      <c r="AP150" s="133"/>
      <c r="AQ150" s="133"/>
      <c r="AR150" s="104"/>
      <c r="AS150" s="93" t="e">
        <f>#REF!</f>
        <v>#REF!</v>
      </c>
    </row>
    <row r="151" spans="1:45" s="85" customFormat="1">
      <c r="A151" s="79"/>
      <c r="B151" s="159" t="str">
        <f>IF(D151="","",#REF!)</f>
        <v/>
      </c>
      <c r="C151" s="160"/>
      <c r="D151" s="88"/>
      <c r="E151" s="115"/>
      <c r="F151" s="116"/>
      <c r="G151" s="117"/>
      <c r="H151" s="137"/>
      <c r="I151" s="118"/>
      <c r="J151" s="118"/>
      <c r="K151" s="165"/>
      <c r="L151" s="166"/>
      <c r="M151" s="155"/>
      <c r="N151" s="124"/>
      <c r="O151" s="90"/>
      <c r="P151" s="90"/>
      <c r="Q151" s="124"/>
      <c r="R151" s="90"/>
      <c r="S151" s="90"/>
      <c r="T151" s="171"/>
      <c r="U151" s="172"/>
      <c r="V151" s="172"/>
      <c r="W151" s="128"/>
      <c r="X151" s="89"/>
      <c r="Y151" s="118"/>
      <c r="Z151" s="91"/>
      <c r="AA151" s="92"/>
      <c r="AB151" s="104"/>
      <c r="AC151" s="130"/>
      <c r="AD151" s="131"/>
      <c r="AE151" s="132"/>
      <c r="AF151" s="133"/>
      <c r="AG151" s="133"/>
      <c r="AH151" s="133"/>
      <c r="AI151" s="133"/>
      <c r="AJ151" s="133"/>
      <c r="AK151" s="133"/>
      <c r="AL151" s="133"/>
      <c r="AM151" s="133"/>
      <c r="AN151" s="133"/>
      <c r="AO151" s="133"/>
      <c r="AP151" s="133"/>
      <c r="AQ151" s="133"/>
      <c r="AR151" s="104"/>
      <c r="AS151" s="93" t="e">
        <f>#REF!</f>
        <v>#REF!</v>
      </c>
    </row>
    <row r="152" spans="1:45" s="85" customFormat="1">
      <c r="A152" s="79"/>
      <c r="B152" s="159" t="str">
        <f>IF(D152="","",#REF!)</f>
        <v/>
      </c>
      <c r="C152" s="160"/>
      <c r="D152" s="88"/>
      <c r="E152" s="115"/>
      <c r="F152" s="116"/>
      <c r="G152" s="117"/>
      <c r="H152" s="137"/>
      <c r="I152" s="118"/>
      <c r="J152" s="118"/>
      <c r="K152" s="165"/>
      <c r="L152" s="166"/>
      <c r="M152" s="155"/>
      <c r="N152" s="124"/>
      <c r="O152" s="90"/>
      <c r="P152" s="90"/>
      <c r="Q152" s="124"/>
      <c r="R152" s="90"/>
      <c r="S152" s="90"/>
      <c r="T152" s="171"/>
      <c r="U152" s="172"/>
      <c r="V152" s="172"/>
      <c r="W152" s="128"/>
      <c r="X152" s="89"/>
      <c r="Y152" s="118"/>
      <c r="Z152" s="91"/>
      <c r="AA152" s="92"/>
      <c r="AB152" s="104"/>
      <c r="AC152" s="130"/>
      <c r="AD152" s="131"/>
      <c r="AE152" s="132"/>
      <c r="AF152" s="133"/>
      <c r="AG152" s="133"/>
      <c r="AH152" s="133"/>
      <c r="AI152" s="133"/>
      <c r="AJ152" s="133"/>
      <c r="AK152" s="133"/>
      <c r="AL152" s="133"/>
      <c r="AM152" s="133"/>
      <c r="AN152" s="133"/>
      <c r="AO152" s="133"/>
      <c r="AP152" s="133"/>
      <c r="AQ152" s="133"/>
      <c r="AR152" s="104"/>
      <c r="AS152" s="93" t="e">
        <f>#REF!</f>
        <v>#REF!</v>
      </c>
    </row>
    <row r="153" spans="1:45" s="85" customFormat="1">
      <c r="A153" s="79"/>
      <c r="B153" s="159" t="str">
        <f>IF(D153="","",#REF!)</f>
        <v/>
      </c>
      <c r="C153" s="160"/>
      <c r="D153" s="88"/>
      <c r="E153" s="115"/>
      <c r="F153" s="116"/>
      <c r="G153" s="117"/>
      <c r="H153" s="137"/>
      <c r="I153" s="118"/>
      <c r="J153" s="118"/>
      <c r="K153" s="165"/>
      <c r="L153" s="166"/>
      <c r="M153" s="155"/>
      <c r="N153" s="124"/>
      <c r="O153" s="90"/>
      <c r="P153" s="90"/>
      <c r="Q153" s="124"/>
      <c r="R153" s="90"/>
      <c r="S153" s="90"/>
      <c r="T153" s="171"/>
      <c r="U153" s="172"/>
      <c r="V153" s="172"/>
      <c r="W153" s="128"/>
      <c r="X153" s="89"/>
      <c r="Y153" s="118"/>
      <c r="Z153" s="91"/>
      <c r="AA153" s="92"/>
      <c r="AB153" s="104"/>
      <c r="AC153" s="130"/>
      <c r="AD153" s="131"/>
      <c r="AE153" s="132"/>
      <c r="AF153" s="133"/>
      <c r="AG153" s="133"/>
      <c r="AH153" s="133"/>
      <c r="AI153" s="133"/>
      <c r="AJ153" s="133"/>
      <c r="AK153" s="133"/>
      <c r="AL153" s="133"/>
      <c r="AM153" s="133"/>
      <c r="AN153" s="133"/>
      <c r="AO153" s="133"/>
      <c r="AP153" s="133"/>
      <c r="AQ153" s="133"/>
      <c r="AR153" s="104"/>
      <c r="AS153" s="93" t="e">
        <f>#REF!</f>
        <v>#REF!</v>
      </c>
    </row>
    <row r="154" spans="1:45" s="85" customFormat="1">
      <c r="A154" s="79"/>
      <c r="B154" s="159" t="str">
        <f>IF(D154="","",#REF!)</f>
        <v/>
      </c>
      <c r="C154" s="160"/>
      <c r="D154" s="88"/>
      <c r="E154" s="115"/>
      <c r="F154" s="116"/>
      <c r="G154" s="117"/>
      <c r="H154" s="137"/>
      <c r="I154" s="118"/>
      <c r="J154" s="118"/>
      <c r="K154" s="165"/>
      <c r="L154" s="166"/>
      <c r="M154" s="155"/>
      <c r="N154" s="124"/>
      <c r="O154" s="90"/>
      <c r="P154" s="90"/>
      <c r="Q154" s="124"/>
      <c r="R154" s="90"/>
      <c r="S154" s="90"/>
      <c r="T154" s="171"/>
      <c r="U154" s="172"/>
      <c r="V154" s="172"/>
      <c r="W154" s="128"/>
      <c r="X154" s="89"/>
      <c r="Y154" s="118"/>
      <c r="Z154" s="91"/>
      <c r="AA154" s="92"/>
      <c r="AB154" s="104"/>
      <c r="AC154" s="130"/>
      <c r="AD154" s="131"/>
      <c r="AE154" s="132"/>
      <c r="AF154" s="133"/>
      <c r="AG154" s="133"/>
      <c r="AH154" s="133"/>
      <c r="AI154" s="133"/>
      <c r="AJ154" s="133"/>
      <c r="AK154" s="133"/>
      <c r="AL154" s="133"/>
      <c r="AM154" s="133"/>
      <c r="AN154" s="133"/>
      <c r="AO154" s="133"/>
      <c r="AP154" s="133"/>
      <c r="AQ154" s="133"/>
      <c r="AR154" s="104"/>
      <c r="AS154" s="93" t="e">
        <f>#REF!</f>
        <v>#REF!</v>
      </c>
    </row>
    <row r="155" spans="1:45" s="85" customFormat="1">
      <c r="A155" s="79"/>
      <c r="B155" s="159" t="str">
        <f>IF(D155="","",#REF!)</f>
        <v/>
      </c>
      <c r="C155" s="160"/>
      <c r="D155" s="88"/>
      <c r="E155" s="115"/>
      <c r="F155" s="116"/>
      <c r="G155" s="117"/>
      <c r="H155" s="137"/>
      <c r="I155" s="118"/>
      <c r="J155" s="118"/>
      <c r="K155" s="165"/>
      <c r="L155" s="166"/>
      <c r="M155" s="155"/>
      <c r="N155" s="124"/>
      <c r="O155" s="90"/>
      <c r="P155" s="90"/>
      <c r="Q155" s="124"/>
      <c r="R155" s="90"/>
      <c r="S155" s="90"/>
      <c r="T155" s="171"/>
      <c r="U155" s="172"/>
      <c r="V155" s="172"/>
      <c r="W155" s="128"/>
      <c r="X155" s="89"/>
      <c r="Y155" s="118"/>
      <c r="Z155" s="91"/>
      <c r="AA155" s="92"/>
      <c r="AB155" s="104"/>
      <c r="AC155" s="130"/>
      <c r="AD155" s="131"/>
      <c r="AE155" s="132"/>
      <c r="AF155" s="133"/>
      <c r="AG155" s="133"/>
      <c r="AH155" s="133"/>
      <c r="AI155" s="133"/>
      <c r="AJ155" s="133"/>
      <c r="AK155" s="133"/>
      <c r="AL155" s="133"/>
      <c r="AM155" s="133"/>
      <c r="AN155" s="133"/>
      <c r="AO155" s="133"/>
      <c r="AP155" s="133"/>
      <c r="AQ155" s="133"/>
      <c r="AR155" s="104"/>
      <c r="AS155" s="93" t="e">
        <f>#REF!</f>
        <v>#REF!</v>
      </c>
    </row>
    <row r="156" spans="1:45" s="85" customFormat="1" ht="21" thickBot="1">
      <c r="A156" s="79"/>
      <c r="B156" s="161" t="str">
        <f>IF(D156="","",#REF!)</f>
        <v/>
      </c>
      <c r="C156" s="162"/>
      <c r="D156" s="95"/>
      <c r="E156" s="119"/>
      <c r="F156" s="120"/>
      <c r="G156" s="121"/>
      <c r="H156" s="122"/>
      <c r="I156" s="122"/>
      <c r="J156" s="122"/>
      <c r="K156" s="167"/>
      <c r="L156" s="168"/>
      <c r="M156" s="156"/>
      <c r="N156" s="125"/>
      <c r="O156" s="96"/>
      <c r="P156" s="96"/>
      <c r="Q156" s="126"/>
      <c r="R156" s="96"/>
      <c r="S156" s="96"/>
      <c r="T156" s="173"/>
      <c r="U156" s="174"/>
      <c r="V156" s="174"/>
      <c r="W156" s="129"/>
      <c r="X156" s="94"/>
      <c r="Y156" s="122"/>
      <c r="Z156" s="97"/>
      <c r="AA156" s="98"/>
      <c r="AB156" s="104"/>
      <c r="AC156" s="134"/>
      <c r="AD156" s="135"/>
      <c r="AE156" s="136"/>
      <c r="AF156" s="133"/>
      <c r="AG156" s="133"/>
      <c r="AH156" s="133"/>
      <c r="AI156" s="133"/>
      <c r="AJ156" s="133"/>
      <c r="AK156" s="133"/>
      <c r="AL156" s="133"/>
      <c r="AM156" s="133"/>
      <c r="AN156" s="133"/>
      <c r="AO156" s="133"/>
      <c r="AP156" s="133"/>
      <c r="AQ156" s="133"/>
      <c r="AR156" s="104"/>
      <c r="AS156" s="99" t="e">
        <f>#REF!</f>
        <v>#REF!</v>
      </c>
    </row>
    <row r="157" spans="1:45" s="85" customFormat="1">
      <c r="A157" s="79"/>
      <c r="B157" s="100"/>
      <c r="C157" s="101" t="s">
        <v>15</v>
      </c>
      <c r="D157" s="101"/>
      <c r="K157" s="100"/>
      <c r="N157" s="100"/>
      <c r="O157" s="100"/>
      <c r="P157" s="100"/>
      <c r="Q157" s="100"/>
      <c r="R157" s="100"/>
      <c r="S157" s="100"/>
      <c r="T157" s="100"/>
      <c r="U157" s="100"/>
      <c r="V157" s="100"/>
      <c r="W157" s="102"/>
      <c r="X157" s="100"/>
      <c r="AF157" s="86"/>
      <c r="AG157" s="103"/>
      <c r="AH157" s="103"/>
      <c r="AI157" s="103"/>
      <c r="AJ157" s="103"/>
      <c r="AK157" s="103"/>
      <c r="AL157" s="103"/>
      <c r="AM157" s="103"/>
      <c r="AN157" s="103"/>
      <c r="AO157" s="103"/>
      <c r="AP157" s="103"/>
      <c r="AQ157" s="103"/>
      <c r="AS157" s="104"/>
    </row>
    <row r="158" spans="1:45">
      <c r="K158" s="106"/>
      <c r="AF158" s="33"/>
    </row>
    <row r="159" spans="1:45">
      <c r="K159" s="106"/>
      <c r="AF159" s="33"/>
    </row>
    <row r="160" spans="1:45">
      <c r="K160" s="106"/>
      <c r="AF160" s="33"/>
    </row>
    <row r="161" spans="11:32">
      <c r="K161" s="106"/>
      <c r="AF161" s="33"/>
    </row>
    <row r="162" spans="11:32">
      <c r="K162" s="106"/>
      <c r="AF162" s="33"/>
    </row>
    <row r="163" spans="11:32">
      <c r="K163" s="106"/>
      <c r="AF163" s="33"/>
    </row>
    <row r="164" spans="11:32">
      <c r="K164" s="106"/>
      <c r="AF164" s="33"/>
    </row>
    <row r="165" spans="11:32">
      <c r="K165" s="106"/>
      <c r="AF165" s="33"/>
    </row>
    <row r="166" spans="11:32">
      <c r="K166" s="106"/>
      <c r="AF166" s="33"/>
    </row>
    <row r="167" spans="11:32">
      <c r="K167" s="106"/>
      <c r="AF167" s="33"/>
    </row>
    <row r="168" spans="11:32">
      <c r="K168" s="106"/>
      <c r="AF168" s="33"/>
    </row>
    <row r="169" spans="11:32">
      <c r="K169" s="106"/>
      <c r="AF169" s="33"/>
    </row>
    <row r="170" spans="11:32">
      <c r="K170" s="106"/>
      <c r="AF170" s="33"/>
    </row>
    <row r="171" spans="11:32">
      <c r="K171" s="106"/>
      <c r="AF171" s="33"/>
    </row>
    <row r="172" spans="11:32">
      <c r="K172" s="106"/>
      <c r="AF172" s="33"/>
    </row>
    <row r="173" spans="11:32">
      <c r="K173" s="106"/>
      <c r="AF173" s="33"/>
    </row>
    <row r="174" spans="11:32">
      <c r="K174" s="106"/>
      <c r="AF174" s="33"/>
    </row>
    <row r="175" spans="11:32">
      <c r="K175" s="106"/>
      <c r="AF175" s="33"/>
    </row>
    <row r="176" spans="11:32">
      <c r="K176" s="106"/>
      <c r="AF176" s="33"/>
    </row>
    <row r="177" spans="11:32">
      <c r="K177" s="106"/>
      <c r="AF177" s="33"/>
    </row>
    <row r="178" spans="11:32">
      <c r="K178" s="106"/>
      <c r="AF178" s="33"/>
    </row>
    <row r="179" spans="11:32">
      <c r="K179" s="106"/>
      <c r="AF179" s="33"/>
    </row>
    <row r="180" spans="11:32">
      <c r="K180" s="106"/>
      <c r="AF180" s="33"/>
    </row>
    <row r="181" spans="11:32">
      <c r="K181" s="106"/>
      <c r="AF181" s="33"/>
    </row>
    <row r="182" spans="11:32">
      <c r="K182" s="106"/>
      <c r="AF182" s="33"/>
    </row>
    <row r="183" spans="11:32">
      <c r="K183" s="106"/>
      <c r="AF183" s="33"/>
    </row>
    <row r="184" spans="11:32">
      <c r="K184" s="106"/>
      <c r="AF184" s="33"/>
    </row>
    <row r="185" spans="11:32">
      <c r="K185" s="106"/>
      <c r="AF185" s="33"/>
    </row>
    <row r="186" spans="11:32">
      <c r="K186" s="106"/>
      <c r="AF186" s="33"/>
    </row>
    <row r="187" spans="11:32">
      <c r="K187" s="106"/>
      <c r="AF187" s="33"/>
    </row>
    <row r="188" spans="11:32">
      <c r="K188" s="106"/>
      <c r="AF188" s="33"/>
    </row>
    <row r="189" spans="11:32">
      <c r="K189" s="106"/>
      <c r="AF189" s="33"/>
    </row>
    <row r="190" spans="11:32">
      <c r="K190" s="106"/>
      <c r="AF190" s="33"/>
    </row>
    <row r="191" spans="11:32">
      <c r="K191" s="106"/>
      <c r="AF191" s="33"/>
    </row>
    <row r="192" spans="11:32">
      <c r="K192" s="106"/>
      <c r="AF192" s="33"/>
    </row>
    <row r="193" spans="11:32">
      <c r="K193" s="106"/>
      <c r="AF193" s="33"/>
    </row>
    <row r="194" spans="11:32">
      <c r="K194" s="106"/>
      <c r="AF194" s="33"/>
    </row>
    <row r="195" spans="11:32">
      <c r="K195" s="106"/>
      <c r="AF195" s="33"/>
    </row>
    <row r="196" spans="11:32">
      <c r="K196" s="106"/>
      <c r="AF196" s="33"/>
    </row>
    <row r="197" spans="11:32">
      <c r="K197" s="106"/>
      <c r="AF197" s="33"/>
    </row>
    <row r="198" spans="11:32">
      <c r="K198" s="106"/>
      <c r="AF198" s="33"/>
    </row>
    <row r="199" spans="11:32">
      <c r="K199" s="106"/>
      <c r="AF199" s="33"/>
    </row>
    <row r="200" spans="11:32">
      <c r="K200" s="106"/>
      <c r="AF200" s="33"/>
    </row>
    <row r="201" spans="11:32">
      <c r="K201" s="106"/>
      <c r="AF201" s="33"/>
    </row>
    <row r="202" spans="11:32">
      <c r="AF202" s="33"/>
    </row>
    <row r="203" spans="11:32">
      <c r="AF203" s="33"/>
    </row>
    <row r="204" spans="11:32">
      <c r="AF204" s="33"/>
    </row>
    <row r="205" spans="11:32">
      <c r="AF205" s="33"/>
    </row>
    <row r="206" spans="11:32">
      <c r="AF206" s="33"/>
    </row>
    <row r="207" spans="11:32">
      <c r="AF207" s="33"/>
    </row>
    <row r="208" spans="11:32">
      <c r="AF208" s="33"/>
    </row>
    <row r="209" spans="32:32">
      <c r="AF209" s="33"/>
    </row>
    <row r="210" spans="32:32">
      <c r="AF210" s="33"/>
    </row>
    <row r="211" spans="32:32">
      <c r="AF211" s="33"/>
    </row>
    <row r="212" spans="32:32">
      <c r="AF212" s="33"/>
    </row>
    <row r="213" spans="32:32">
      <c r="AF213" s="33"/>
    </row>
    <row r="214" spans="32:32">
      <c r="AF214" s="33"/>
    </row>
    <row r="215" spans="32:32">
      <c r="AF215" s="33"/>
    </row>
    <row r="216" spans="32:32">
      <c r="AF216" s="33"/>
    </row>
    <row r="217" spans="32:32">
      <c r="AF217" s="33"/>
    </row>
    <row r="218" spans="32:32">
      <c r="AF218" s="33"/>
    </row>
    <row r="219" spans="32:32">
      <c r="AF219" s="33"/>
    </row>
    <row r="220" spans="32:32">
      <c r="AF220" s="33"/>
    </row>
    <row r="221" spans="32:32">
      <c r="AF221" s="33"/>
    </row>
    <row r="222" spans="32:32">
      <c r="AF222" s="33"/>
    </row>
    <row r="223" spans="32:32">
      <c r="AF223" s="33"/>
    </row>
    <row r="224" spans="32:32">
      <c r="AF224" s="33"/>
    </row>
    <row r="225" spans="32:32">
      <c r="AF225" s="33"/>
    </row>
    <row r="226" spans="32:32">
      <c r="AF226" s="33"/>
    </row>
    <row r="227" spans="32:32">
      <c r="AF227" s="33"/>
    </row>
    <row r="228" spans="32:32">
      <c r="AF228" s="33"/>
    </row>
    <row r="229" spans="32:32">
      <c r="AF229" s="33"/>
    </row>
    <row r="230" spans="32:32">
      <c r="AF230" s="33"/>
    </row>
    <row r="231" spans="32:32">
      <c r="AF231" s="33"/>
    </row>
    <row r="232" spans="32:32">
      <c r="AF232" s="33"/>
    </row>
    <row r="233" spans="32:32">
      <c r="AF233" s="33"/>
    </row>
    <row r="234" spans="32:32">
      <c r="AF234" s="33"/>
    </row>
    <row r="235" spans="32:32">
      <c r="AF235" s="33"/>
    </row>
    <row r="236" spans="32:32">
      <c r="AF236" s="33"/>
    </row>
    <row r="237" spans="32:32">
      <c r="AF237" s="33"/>
    </row>
    <row r="238" spans="32:32">
      <c r="AF238" s="33"/>
    </row>
    <row r="239" spans="32:32">
      <c r="AF239" s="33"/>
    </row>
    <row r="240" spans="32:32">
      <c r="AF240" s="33"/>
    </row>
    <row r="241" spans="32:32">
      <c r="AF241" s="33"/>
    </row>
    <row r="242" spans="32:32">
      <c r="AF242" s="33"/>
    </row>
    <row r="243" spans="32:32">
      <c r="AF243" s="33"/>
    </row>
    <row r="244" spans="32:32">
      <c r="AF244" s="33"/>
    </row>
    <row r="245" spans="32:32">
      <c r="AF245" s="33"/>
    </row>
    <row r="246" spans="32:32">
      <c r="AF246" s="33"/>
    </row>
    <row r="247" spans="32:32">
      <c r="AF247" s="33"/>
    </row>
    <row r="248" spans="32:32">
      <c r="AF248" s="33"/>
    </row>
    <row r="249" spans="32:32">
      <c r="AF249" s="33"/>
    </row>
    <row r="250" spans="32:32">
      <c r="AF250" s="33"/>
    </row>
    <row r="251" spans="32:32">
      <c r="AF251" s="33"/>
    </row>
    <row r="252" spans="32:32">
      <c r="AF252" s="33"/>
    </row>
    <row r="253" spans="32:32">
      <c r="AF253" s="33"/>
    </row>
    <row r="254" spans="32:32">
      <c r="AF254" s="33"/>
    </row>
    <row r="255" spans="32:32">
      <c r="AF255" s="33"/>
    </row>
    <row r="256" spans="32:32">
      <c r="AF256" s="33"/>
    </row>
    <row r="257" spans="32:32">
      <c r="AF257" s="33"/>
    </row>
    <row r="258" spans="32:32">
      <c r="AF258" s="33"/>
    </row>
    <row r="259" spans="32:32">
      <c r="AF259" s="33"/>
    </row>
    <row r="260" spans="32:32">
      <c r="AF260" s="33"/>
    </row>
    <row r="261" spans="32:32">
      <c r="AF261" s="33"/>
    </row>
    <row r="262" spans="32:32">
      <c r="AF262" s="33"/>
    </row>
    <row r="263" spans="32:32">
      <c r="AF263" s="33"/>
    </row>
    <row r="264" spans="32:32">
      <c r="AF264" s="33"/>
    </row>
    <row r="265" spans="32:32">
      <c r="AF265" s="33"/>
    </row>
    <row r="266" spans="32:32">
      <c r="AF266" s="33"/>
    </row>
    <row r="267" spans="32:32">
      <c r="AF267" s="33"/>
    </row>
    <row r="268" spans="32:32">
      <c r="AF268" s="33"/>
    </row>
    <row r="269" spans="32:32">
      <c r="AF269" s="33"/>
    </row>
    <row r="270" spans="32:32">
      <c r="AF270" s="33"/>
    </row>
    <row r="271" spans="32:32">
      <c r="AF271" s="33"/>
    </row>
    <row r="272" spans="32:32">
      <c r="AF272" s="33"/>
    </row>
    <row r="273" spans="32:32">
      <c r="AF273" s="33"/>
    </row>
    <row r="274" spans="32:32">
      <c r="AF274" s="33"/>
    </row>
    <row r="275" spans="32:32">
      <c r="AF275" s="33"/>
    </row>
    <row r="276" spans="32:32">
      <c r="AF276" s="33"/>
    </row>
    <row r="277" spans="32:32">
      <c r="AF277" s="33"/>
    </row>
    <row r="278" spans="32:32">
      <c r="AF278" s="33"/>
    </row>
    <row r="279" spans="32:32">
      <c r="AF279" s="33"/>
    </row>
    <row r="280" spans="32:32">
      <c r="AF280" s="33"/>
    </row>
    <row r="281" spans="32:32">
      <c r="AF281" s="33"/>
    </row>
    <row r="282" spans="32:32">
      <c r="AF282" s="33"/>
    </row>
    <row r="283" spans="32:32">
      <c r="AF283" s="33"/>
    </row>
    <row r="284" spans="32:32">
      <c r="AF284" s="33"/>
    </row>
    <row r="285" spans="32:32">
      <c r="AF285" s="33"/>
    </row>
    <row r="286" spans="32:32">
      <c r="AF286" s="33"/>
    </row>
    <row r="287" spans="32:32">
      <c r="AF287" s="33"/>
    </row>
    <row r="288" spans="32:32">
      <c r="AF288" s="33"/>
    </row>
    <row r="289" spans="32:32">
      <c r="AF289" s="33"/>
    </row>
    <row r="290" spans="32:32">
      <c r="AF290" s="33"/>
    </row>
    <row r="291" spans="32:32">
      <c r="AF291" s="33"/>
    </row>
    <row r="292" spans="32:32">
      <c r="AF292" s="33"/>
    </row>
    <row r="293" spans="32:32">
      <c r="AF293" s="33"/>
    </row>
    <row r="294" spans="32:32">
      <c r="AF294" s="33"/>
    </row>
    <row r="295" spans="32:32">
      <c r="AF295" s="33"/>
    </row>
    <row r="296" spans="32:32">
      <c r="AF296" s="33"/>
    </row>
    <row r="297" spans="32:32">
      <c r="AF297" s="33"/>
    </row>
    <row r="298" spans="32:32">
      <c r="AF298" s="33"/>
    </row>
    <row r="299" spans="32:32">
      <c r="AF299" s="33"/>
    </row>
    <row r="300" spans="32:32">
      <c r="AF300" s="33"/>
    </row>
    <row r="301" spans="32:32">
      <c r="AF301" s="33"/>
    </row>
    <row r="302" spans="32:32">
      <c r="AF302" s="33"/>
    </row>
    <row r="303" spans="32:32">
      <c r="AF303" s="33"/>
    </row>
    <row r="304" spans="32:32">
      <c r="AF304" s="33"/>
    </row>
    <row r="305" spans="32:32">
      <c r="AF305" s="33"/>
    </row>
    <row r="306" spans="32:32">
      <c r="AF306" s="33"/>
    </row>
    <row r="307" spans="32:32">
      <c r="AF307" s="33"/>
    </row>
    <row r="308" spans="32:32">
      <c r="AF308" s="33"/>
    </row>
    <row r="309" spans="32:32">
      <c r="AF309" s="33"/>
    </row>
    <row r="310" spans="32:32">
      <c r="AF310" s="33"/>
    </row>
    <row r="311" spans="32:32">
      <c r="AF311" s="33"/>
    </row>
    <row r="312" spans="32:32">
      <c r="AF312" s="33"/>
    </row>
    <row r="313" spans="32:32">
      <c r="AF313" s="33"/>
    </row>
    <row r="314" spans="32:32">
      <c r="AF314" s="33"/>
    </row>
    <row r="315" spans="32:32">
      <c r="AF315" s="33"/>
    </row>
    <row r="316" spans="32:32">
      <c r="AF316" s="33"/>
    </row>
    <row r="317" spans="32:32">
      <c r="AF317" s="33"/>
    </row>
    <row r="318" spans="32:32">
      <c r="AF318" s="33"/>
    </row>
    <row r="319" spans="32:32">
      <c r="AF319" s="33"/>
    </row>
    <row r="320" spans="32:32">
      <c r="AF320" s="33"/>
    </row>
    <row r="321" spans="32:32">
      <c r="AF321" s="33"/>
    </row>
    <row r="322" spans="32:32">
      <c r="AF322" s="33"/>
    </row>
    <row r="323" spans="32:32">
      <c r="AF323" s="33"/>
    </row>
    <row r="324" spans="32:32">
      <c r="AF324" s="33"/>
    </row>
    <row r="325" spans="32:32">
      <c r="AF325" s="33"/>
    </row>
    <row r="326" spans="32:32">
      <c r="AF326" s="33"/>
    </row>
    <row r="327" spans="32:32">
      <c r="AF327" s="33"/>
    </row>
    <row r="328" spans="32:32">
      <c r="AF328" s="33"/>
    </row>
    <row r="329" spans="32:32">
      <c r="AF329" s="33"/>
    </row>
    <row r="330" spans="32:32">
      <c r="AF330" s="33"/>
    </row>
    <row r="331" spans="32:32">
      <c r="AF331" s="33"/>
    </row>
    <row r="332" spans="32:32">
      <c r="AF332" s="33"/>
    </row>
    <row r="333" spans="32:32">
      <c r="AF333" s="33"/>
    </row>
    <row r="334" spans="32:32">
      <c r="AF334" s="33"/>
    </row>
    <row r="335" spans="32:32">
      <c r="AF335" s="33"/>
    </row>
    <row r="336" spans="32:32">
      <c r="AF336" s="33"/>
    </row>
    <row r="337" spans="32:32">
      <c r="AF337" s="33"/>
    </row>
    <row r="338" spans="32:32">
      <c r="AF338" s="33"/>
    </row>
    <row r="339" spans="32:32">
      <c r="AF339" s="33"/>
    </row>
    <row r="340" spans="32:32">
      <c r="AF340" s="33"/>
    </row>
    <row r="341" spans="32:32">
      <c r="AF341" s="33"/>
    </row>
    <row r="342" spans="32:32">
      <c r="AF342" s="33"/>
    </row>
    <row r="343" spans="32:32">
      <c r="AF343" s="33"/>
    </row>
    <row r="344" spans="32:32">
      <c r="AF344" s="33"/>
    </row>
    <row r="345" spans="32:32">
      <c r="AF345" s="33"/>
    </row>
    <row r="346" spans="32:32">
      <c r="AF346" s="33"/>
    </row>
    <row r="347" spans="32:32">
      <c r="AF347" s="33"/>
    </row>
    <row r="348" spans="32:32">
      <c r="AF348" s="33"/>
    </row>
    <row r="349" spans="32:32">
      <c r="AF349" s="33"/>
    </row>
    <row r="350" spans="32:32">
      <c r="AF350" s="33"/>
    </row>
    <row r="351" spans="32:32">
      <c r="AF351" s="33"/>
    </row>
    <row r="352" spans="32:32">
      <c r="AF352" s="33"/>
    </row>
    <row r="353" spans="32:32">
      <c r="AF353" s="33"/>
    </row>
    <row r="354" spans="32:32">
      <c r="AF354" s="33"/>
    </row>
    <row r="355" spans="32:32">
      <c r="AF355" s="33"/>
    </row>
    <row r="356" spans="32:32">
      <c r="AF356" s="33"/>
    </row>
    <row r="357" spans="32:32">
      <c r="AF357" s="33"/>
    </row>
    <row r="358" spans="32:32">
      <c r="AF358" s="33"/>
    </row>
    <row r="359" spans="32:32">
      <c r="AF359" s="33"/>
    </row>
    <row r="360" spans="32:32">
      <c r="AF360" s="33"/>
    </row>
    <row r="361" spans="32:32">
      <c r="AF361" s="33"/>
    </row>
    <row r="362" spans="32:32">
      <c r="AF362" s="33"/>
    </row>
    <row r="363" spans="32:32">
      <c r="AF363" s="33"/>
    </row>
    <row r="364" spans="32:32">
      <c r="AF364" s="33"/>
    </row>
    <row r="365" spans="32:32">
      <c r="AF365" s="33"/>
    </row>
    <row r="366" spans="32:32">
      <c r="AF366" s="33"/>
    </row>
    <row r="367" spans="32:32">
      <c r="AF367" s="33"/>
    </row>
    <row r="368" spans="32:32">
      <c r="AF368" s="33"/>
    </row>
    <row r="369" spans="32:32">
      <c r="AF369" s="33"/>
    </row>
    <row r="370" spans="32:32">
      <c r="AF370" s="33"/>
    </row>
    <row r="371" spans="32:32">
      <c r="AF371" s="33"/>
    </row>
    <row r="372" spans="32:32">
      <c r="AF372" s="33"/>
    </row>
    <row r="373" spans="32:32">
      <c r="AF373" s="33"/>
    </row>
    <row r="374" spans="32:32">
      <c r="AF374" s="33"/>
    </row>
    <row r="375" spans="32:32">
      <c r="AF375" s="33"/>
    </row>
    <row r="376" spans="32:32">
      <c r="AF376" s="33"/>
    </row>
    <row r="377" spans="32:32">
      <c r="AF377" s="33"/>
    </row>
    <row r="378" spans="32:32">
      <c r="AF378" s="33"/>
    </row>
    <row r="379" spans="32:32">
      <c r="AF379" s="33"/>
    </row>
    <row r="380" spans="32:32">
      <c r="AF380" s="33"/>
    </row>
    <row r="381" spans="32:32">
      <c r="AF381" s="33"/>
    </row>
    <row r="382" spans="32:32">
      <c r="AF382" s="33"/>
    </row>
    <row r="383" spans="32:32">
      <c r="AF383" s="33"/>
    </row>
    <row r="384" spans="32:32">
      <c r="AF384" s="33"/>
    </row>
    <row r="385" spans="32:32">
      <c r="AF385" s="33"/>
    </row>
    <row r="386" spans="32:32">
      <c r="AF386" s="33"/>
    </row>
    <row r="387" spans="32:32">
      <c r="AF387" s="33"/>
    </row>
    <row r="388" spans="32:32">
      <c r="AF388" s="33"/>
    </row>
    <row r="389" spans="32:32">
      <c r="AF389" s="33"/>
    </row>
    <row r="390" spans="32:32">
      <c r="AF390" s="33"/>
    </row>
    <row r="391" spans="32:32">
      <c r="AF391" s="33"/>
    </row>
    <row r="392" spans="32:32">
      <c r="AF392" s="33"/>
    </row>
    <row r="393" spans="32:32">
      <c r="AF393" s="33"/>
    </row>
    <row r="394" spans="32:32">
      <c r="AF394" s="33"/>
    </row>
    <row r="395" spans="32:32">
      <c r="AF395" s="33"/>
    </row>
    <row r="396" spans="32:32">
      <c r="AF396" s="33"/>
    </row>
    <row r="397" spans="32:32">
      <c r="AF397" s="33"/>
    </row>
    <row r="398" spans="32:32">
      <c r="AF398" s="33"/>
    </row>
    <row r="399" spans="32:32">
      <c r="AF399" s="33"/>
    </row>
    <row r="400" spans="32:32">
      <c r="AF400" s="33"/>
    </row>
    <row r="401" spans="32:32">
      <c r="AF401" s="33"/>
    </row>
    <row r="402" spans="32:32">
      <c r="AF402" s="33"/>
    </row>
    <row r="403" spans="32:32">
      <c r="AF403" s="33"/>
    </row>
    <row r="404" spans="32:32">
      <c r="AF404" s="33"/>
    </row>
    <row r="405" spans="32:32">
      <c r="AF405" s="33"/>
    </row>
    <row r="406" spans="32:32">
      <c r="AF406" s="33"/>
    </row>
    <row r="407" spans="32:32">
      <c r="AF407" s="33"/>
    </row>
    <row r="408" spans="32:32">
      <c r="AF408" s="33"/>
    </row>
    <row r="409" spans="32:32">
      <c r="AF409" s="33"/>
    </row>
    <row r="410" spans="32:32">
      <c r="AF410" s="33"/>
    </row>
    <row r="411" spans="32:32">
      <c r="AF411" s="33"/>
    </row>
    <row r="412" spans="32:32">
      <c r="AF412" s="33"/>
    </row>
    <row r="413" spans="32:32">
      <c r="AF413" s="33"/>
    </row>
    <row r="414" spans="32:32">
      <c r="AF414" s="33"/>
    </row>
    <row r="415" spans="32:32">
      <c r="AF415" s="33"/>
    </row>
    <row r="416" spans="32:32">
      <c r="AF416" s="33"/>
    </row>
    <row r="417" spans="32:32">
      <c r="AF417" s="33"/>
    </row>
    <row r="418" spans="32:32">
      <c r="AF418" s="33"/>
    </row>
    <row r="419" spans="32:32">
      <c r="AF419" s="33"/>
    </row>
    <row r="420" spans="32:32">
      <c r="AF420" s="33"/>
    </row>
    <row r="421" spans="32:32">
      <c r="AF421" s="33"/>
    </row>
    <row r="422" spans="32:32">
      <c r="AF422" s="33"/>
    </row>
    <row r="423" spans="32:32">
      <c r="AF423" s="33"/>
    </row>
    <row r="424" spans="32:32">
      <c r="AF424" s="33"/>
    </row>
    <row r="425" spans="32:32">
      <c r="AF425" s="33"/>
    </row>
    <row r="426" spans="32:32">
      <c r="AF426" s="33"/>
    </row>
    <row r="427" spans="32:32">
      <c r="AF427" s="33"/>
    </row>
    <row r="428" spans="32:32">
      <c r="AF428" s="33"/>
    </row>
    <row r="429" spans="32:32">
      <c r="AF429" s="33"/>
    </row>
    <row r="430" spans="32:32">
      <c r="AF430" s="33"/>
    </row>
    <row r="431" spans="32:32">
      <c r="AF431" s="33"/>
    </row>
    <row r="432" spans="32:32">
      <c r="AF432" s="33"/>
    </row>
    <row r="433" spans="32:32">
      <c r="AF433" s="33"/>
    </row>
    <row r="434" spans="32:32">
      <c r="AF434" s="33"/>
    </row>
    <row r="435" spans="32:32">
      <c r="AF435" s="33"/>
    </row>
    <row r="436" spans="32:32">
      <c r="AF436" s="33"/>
    </row>
    <row r="437" spans="32:32">
      <c r="AF437" s="33"/>
    </row>
    <row r="438" spans="32:32">
      <c r="AF438" s="33"/>
    </row>
    <row r="439" spans="32:32">
      <c r="AF439" s="33"/>
    </row>
    <row r="440" spans="32:32">
      <c r="AF440" s="33"/>
    </row>
    <row r="441" spans="32:32">
      <c r="AF441" s="33"/>
    </row>
    <row r="442" spans="32:32">
      <c r="AF442" s="33"/>
    </row>
    <row r="443" spans="32:32">
      <c r="AF443" s="33"/>
    </row>
    <row r="444" spans="32:32">
      <c r="AF444" s="33"/>
    </row>
    <row r="445" spans="32:32">
      <c r="AF445" s="33"/>
    </row>
    <row r="446" spans="32:32">
      <c r="AF446" s="33"/>
    </row>
    <row r="447" spans="32:32">
      <c r="AF447" s="33"/>
    </row>
    <row r="448" spans="32:32">
      <c r="AF448" s="33"/>
    </row>
    <row r="449" spans="32:32">
      <c r="AF449" s="33"/>
    </row>
    <row r="450" spans="32:32">
      <c r="AF450" s="33"/>
    </row>
    <row r="451" spans="32:32">
      <c r="AF451" s="33"/>
    </row>
    <row r="452" spans="32:32">
      <c r="AF452" s="33"/>
    </row>
    <row r="453" spans="32:32">
      <c r="AF453" s="33"/>
    </row>
    <row r="454" spans="32:32">
      <c r="AF454" s="33"/>
    </row>
    <row r="455" spans="32:32">
      <c r="AF455" s="33"/>
    </row>
    <row r="456" spans="32:32">
      <c r="AF456" s="33"/>
    </row>
    <row r="457" spans="32:32">
      <c r="AF457" s="33"/>
    </row>
    <row r="458" spans="32:32">
      <c r="AF458" s="33"/>
    </row>
    <row r="459" spans="32:32">
      <c r="AF459" s="33"/>
    </row>
    <row r="460" spans="32:32">
      <c r="AF460" s="33"/>
    </row>
    <row r="461" spans="32:32">
      <c r="AF461" s="33"/>
    </row>
    <row r="462" spans="32:32">
      <c r="AF462" s="33"/>
    </row>
    <row r="463" spans="32:32">
      <c r="AF463" s="33"/>
    </row>
    <row r="464" spans="32:32">
      <c r="AF464" s="33"/>
    </row>
    <row r="465" spans="32:32">
      <c r="AF465" s="33"/>
    </row>
    <row r="466" spans="32:32">
      <c r="AF466" s="33"/>
    </row>
    <row r="467" spans="32:32">
      <c r="AF467" s="33"/>
    </row>
    <row r="468" spans="32:32">
      <c r="AF468" s="33"/>
    </row>
    <row r="469" spans="32:32">
      <c r="AF469" s="33"/>
    </row>
    <row r="470" spans="32:32">
      <c r="AF470" s="33"/>
    </row>
    <row r="471" spans="32:32">
      <c r="AF471" s="33"/>
    </row>
    <row r="472" spans="32:32">
      <c r="AF472" s="33"/>
    </row>
    <row r="473" spans="32:32">
      <c r="AF473" s="33"/>
    </row>
    <row r="474" spans="32:32">
      <c r="AF474" s="33"/>
    </row>
    <row r="475" spans="32:32">
      <c r="AF475" s="33"/>
    </row>
    <row r="476" spans="32:32">
      <c r="AF476" s="33"/>
    </row>
    <row r="477" spans="32:32">
      <c r="AF477" s="33"/>
    </row>
    <row r="478" spans="32:32">
      <c r="AF478" s="33"/>
    </row>
    <row r="479" spans="32:32">
      <c r="AF479" s="33"/>
    </row>
    <row r="480" spans="32:32">
      <c r="AF480" s="33"/>
    </row>
    <row r="481" spans="32:32">
      <c r="AF481" s="33"/>
    </row>
    <row r="482" spans="32:32">
      <c r="AF482" s="33"/>
    </row>
    <row r="483" spans="32:32">
      <c r="AF483" s="33"/>
    </row>
    <row r="484" spans="32:32">
      <c r="AF484" s="33"/>
    </row>
    <row r="485" spans="32:32">
      <c r="AF485" s="33"/>
    </row>
    <row r="486" spans="32:32">
      <c r="AF486" s="33"/>
    </row>
    <row r="487" spans="32:32">
      <c r="AF487" s="33"/>
    </row>
    <row r="488" spans="32:32">
      <c r="AF488" s="33"/>
    </row>
    <row r="489" spans="32:32">
      <c r="AF489" s="33"/>
    </row>
    <row r="490" spans="32:32">
      <c r="AF490" s="33"/>
    </row>
    <row r="491" spans="32:32">
      <c r="AF491" s="33"/>
    </row>
    <row r="492" spans="32:32">
      <c r="AF492" s="33"/>
    </row>
    <row r="493" spans="32:32">
      <c r="AF493" s="33"/>
    </row>
    <row r="494" spans="32:32">
      <c r="AF494" s="33"/>
    </row>
    <row r="495" spans="32:32">
      <c r="AF495" s="33"/>
    </row>
    <row r="496" spans="32:32">
      <c r="AF496" s="33"/>
    </row>
    <row r="497" spans="32:32">
      <c r="AF497" s="33"/>
    </row>
    <row r="498" spans="32:32">
      <c r="AF498" s="33"/>
    </row>
    <row r="499" spans="32:32">
      <c r="AF499" s="33"/>
    </row>
    <row r="500" spans="32:32">
      <c r="AF500" s="33"/>
    </row>
    <row r="501" spans="32:32">
      <c r="AF501" s="33"/>
    </row>
    <row r="502" spans="32:32">
      <c r="AF502" s="33"/>
    </row>
    <row r="503" spans="32:32">
      <c r="AF503" s="33"/>
    </row>
    <row r="504" spans="32:32">
      <c r="AF504" s="33"/>
    </row>
    <row r="505" spans="32:32">
      <c r="AF505" s="33"/>
    </row>
    <row r="506" spans="32:32">
      <c r="AF506" s="33"/>
    </row>
    <row r="507" spans="32:32">
      <c r="AF507" s="33"/>
    </row>
    <row r="508" spans="32:32">
      <c r="AF508" s="33"/>
    </row>
    <row r="509" spans="32:32">
      <c r="AF509" s="33"/>
    </row>
    <row r="510" spans="32:32">
      <c r="AF510" s="33"/>
    </row>
    <row r="511" spans="32:32">
      <c r="AF511" s="33"/>
    </row>
    <row r="512" spans="32:32">
      <c r="AF512" s="33"/>
    </row>
    <row r="513" spans="32:32">
      <c r="AF513" s="33"/>
    </row>
    <row r="514" spans="32:32">
      <c r="AF514" s="33"/>
    </row>
    <row r="515" spans="32:32">
      <c r="AF515" s="33"/>
    </row>
    <row r="516" spans="32:32">
      <c r="AF516" s="33"/>
    </row>
    <row r="517" spans="32:32">
      <c r="AF517" s="33"/>
    </row>
    <row r="518" spans="32:32">
      <c r="AF518" s="33"/>
    </row>
    <row r="519" spans="32:32">
      <c r="AF519" s="33"/>
    </row>
    <row r="520" spans="32:32">
      <c r="AF520" s="33"/>
    </row>
    <row r="521" spans="32:32">
      <c r="AF521" s="33"/>
    </row>
    <row r="522" spans="32:32">
      <c r="AF522" s="33"/>
    </row>
    <row r="523" spans="32:32">
      <c r="AF523" s="33"/>
    </row>
    <row r="524" spans="32:32">
      <c r="AF524" s="33"/>
    </row>
    <row r="525" spans="32:32">
      <c r="AF525" s="33"/>
    </row>
    <row r="526" spans="32:32">
      <c r="AF526" s="33"/>
    </row>
    <row r="527" spans="32:32">
      <c r="AF527" s="33"/>
    </row>
    <row r="528" spans="32:32">
      <c r="AF528" s="33"/>
    </row>
    <row r="529" spans="32:32">
      <c r="AF529" s="33"/>
    </row>
    <row r="530" spans="32:32">
      <c r="AF530" s="33"/>
    </row>
    <row r="531" spans="32:32">
      <c r="AF531" s="33"/>
    </row>
    <row r="532" spans="32:32">
      <c r="AF532" s="33"/>
    </row>
    <row r="533" spans="32:32">
      <c r="AF533" s="33"/>
    </row>
    <row r="534" spans="32:32">
      <c r="AF534" s="33"/>
    </row>
    <row r="535" spans="32:32">
      <c r="AF535" s="33"/>
    </row>
    <row r="536" spans="32:32">
      <c r="AF536" s="33"/>
    </row>
    <row r="537" spans="32:32">
      <c r="AF537" s="33"/>
    </row>
    <row r="538" spans="32:32">
      <c r="AF538" s="33"/>
    </row>
    <row r="539" spans="32:32">
      <c r="AF539" s="33"/>
    </row>
    <row r="540" spans="32:32">
      <c r="AF540" s="33"/>
    </row>
    <row r="541" spans="32:32">
      <c r="AF541" s="33"/>
    </row>
    <row r="542" spans="32:32">
      <c r="AF542" s="33"/>
    </row>
    <row r="543" spans="32:32">
      <c r="AF543" s="33"/>
    </row>
    <row r="544" spans="32:32">
      <c r="AF544" s="33"/>
    </row>
    <row r="545" spans="32:32">
      <c r="AF545" s="33"/>
    </row>
    <row r="546" spans="32:32">
      <c r="AF546" s="33"/>
    </row>
    <row r="547" spans="32:32">
      <c r="AF547" s="33"/>
    </row>
    <row r="548" spans="32:32">
      <c r="AF548" s="33"/>
    </row>
    <row r="549" spans="32:32">
      <c r="AF549" s="33"/>
    </row>
    <row r="550" spans="32:32">
      <c r="AF550" s="33"/>
    </row>
    <row r="551" spans="32:32">
      <c r="AF551" s="33"/>
    </row>
    <row r="552" spans="32:32">
      <c r="AF552" s="33"/>
    </row>
    <row r="553" spans="32:32">
      <c r="AF553" s="33"/>
    </row>
    <row r="554" spans="32:32">
      <c r="AF554" s="33"/>
    </row>
    <row r="555" spans="32:32">
      <c r="AF555" s="33"/>
    </row>
    <row r="556" spans="32:32">
      <c r="AF556" s="33"/>
    </row>
    <row r="557" spans="32:32">
      <c r="AF557" s="33"/>
    </row>
    <row r="558" spans="32:32">
      <c r="AF558" s="33"/>
    </row>
    <row r="559" spans="32:32">
      <c r="AF559" s="33"/>
    </row>
    <row r="560" spans="32:32">
      <c r="AF560" s="33"/>
    </row>
    <row r="561" spans="32:32">
      <c r="AF561" s="33"/>
    </row>
    <row r="562" spans="32:32">
      <c r="AF562" s="33"/>
    </row>
    <row r="563" spans="32:32">
      <c r="AF563" s="33"/>
    </row>
    <row r="564" spans="32:32">
      <c r="AF564" s="33"/>
    </row>
    <row r="565" spans="32:32">
      <c r="AF565" s="33"/>
    </row>
    <row r="566" spans="32:32">
      <c r="AF566" s="33"/>
    </row>
    <row r="567" spans="32:32">
      <c r="AF567" s="33"/>
    </row>
    <row r="568" spans="32:32">
      <c r="AF568" s="33"/>
    </row>
    <row r="569" spans="32:32">
      <c r="AF569" s="33"/>
    </row>
    <row r="570" spans="32:32">
      <c r="AF570" s="33"/>
    </row>
    <row r="571" spans="32:32">
      <c r="AF571" s="33"/>
    </row>
    <row r="572" spans="32:32">
      <c r="AF572" s="33"/>
    </row>
    <row r="573" spans="32:32">
      <c r="AF573" s="33"/>
    </row>
    <row r="574" spans="32:32">
      <c r="AF574" s="33"/>
    </row>
    <row r="575" spans="32:32">
      <c r="AF575" s="33"/>
    </row>
    <row r="576" spans="32:32">
      <c r="AF576" s="33"/>
    </row>
    <row r="577" spans="32:32">
      <c r="AF577" s="33"/>
    </row>
    <row r="578" spans="32:32">
      <c r="AF578" s="33"/>
    </row>
    <row r="579" spans="32:32">
      <c r="AF579" s="33"/>
    </row>
    <row r="580" spans="32:32">
      <c r="AF580" s="33"/>
    </row>
    <row r="581" spans="32:32">
      <c r="AF581" s="33"/>
    </row>
    <row r="582" spans="32:32">
      <c r="AF582" s="33"/>
    </row>
    <row r="583" spans="32:32">
      <c r="AF583" s="33"/>
    </row>
    <row r="584" spans="32:32">
      <c r="AF584" s="33"/>
    </row>
    <row r="585" spans="32:32">
      <c r="AF585" s="33"/>
    </row>
    <row r="586" spans="32:32">
      <c r="AF586" s="33"/>
    </row>
    <row r="587" spans="32:32">
      <c r="AF587" s="33"/>
    </row>
    <row r="588" spans="32:32">
      <c r="AF588" s="33"/>
    </row>
    <row r="589" spans="32:32">
      <c r="AF589" s="33"/>
    </row>
    <row r="590" spans="32:32">
      <c r="AF590" s="33"/>
    </row>
    <row r="591" spans="32:32">
      <c r="AF591" s="33"/>
    </row>
    <row r="592" spans="32:32">
      <c r="AF592" s="33"/>
    </row>
    <row r="593" spans="32:32">
      <c r="AF593" s="33"/>
    </row>
    <row r="594" spans="32:32">
      <c r="AF594" s="33"/>
    </row>
    <row r="595" spans="32:32">
      <c r="AF595" s="33"/>
    </row>
    <row r="596" spans="32:32">
      <c r="AF596" s="33"/>
    </row>
    <row r="597" spans="32:32">
      <c r="AF597" s="33"/>
    </row>
    <row r="598" spans="32:32">
      <c r="AF598" s="33"/>
    </row>
    <row r="599" spans="32:32">
      <c r="AF599" s="33"/>
    </row>
    <row r="600" spans="32:32">
      <c r="AF600" s="33"/>
    </row>
    <row r="601" spans="32:32">
      <c r="AF601" s="33"/>
    </row>
    <row r="602" spans="32:32">
      <c r="AF602" s="33"/>
    </row>
    <row r="603" spans="32:32">
      <c r="AF603" s="33"/>
    </row>
    <row r="604" spans="32:32">
      <c r="AF604" s="33"/>
    </row>
    <row r="605" spans="32:32">
      <c r="AF605" s="33"/>
    </row>
    <row r="606" spans="32:32">
      <c r="AF606" s="33"/>
    </row>
    <row r="607" spans="32:32">
      <c r="AF607" s="33"/>
    </row>
    <row r="608" spans="32:32">
      <c r="AF608" s="33"/>
    </row>
    <row r="609" spans="32:32">
      <c r="AF609" s="33"/>
    </row>
    <row r="610" spans="32:32">
      <c r="AF610" s="33"/>
    </row>
    <row r="611" spans="32:32">
      <c r="AF611" s="33"/>
    </row>
    <row r="612" spans="32:32">
      <c r="AF612" s="33"/>
    </row>
    <row r="613" spans="32:32">
      <c r="AF613" s="33"/>
    </row>
    <row r="614" spans="32:32">
      <c r="AF614" s="33"/>
    </row>
    <row r="615" spans="32:32">
      <c r="AF615" s="33"/>
    </row>
    <row r="616" spans="32:32">
      <c r="AF616" s="33"/>
    </row>
    <row r="617" spans="32:32">
      <c r="AF617" s="33"/>
    </row>
    <row r="618" spans="32:32">
      <c r="AF618" s="33"/>
    </row>
    <row r="619" spans="32:32">
      <c r="AF619" s="33"/>
    </row>
    <row r="620" spans="32:32">
      <c r="AF620" s="33"/>
    </row>
    <row r="621" spans="32:32">
      <c r="AF621" s="33"/>
    </row>
    <row r="622" spans="32:32">
      <c r="AF622" s="33"/>
    </row>
    <row r="623" spans="32:32">
      <c r="AF623" s="33"/>
    </row>
    <row r="624" spans="32:32">
      <c r="AF624" s="33"/>
    </row>
    <row r="625" spans="32:32">
      <c r="AF625" s="33"/>
    </row>
    <row r="626" spans="32:32">
      <c r="AF626" s="33"/>
    </row>
    <row r="627" spans="32:32">
      <c r="AF627" s="33"/>
    </row>
    <row r="628" spans="32:32">
      <c r="AF628" s="33"/>
    </row>
    <row r="629" spans="32:32">
      <c r="AF629" s="33"/>
    </row>
    <row r="630" spans="32:32">
      <c r="AF630" s="33"/>
    </row>
    <row r="631" spans="32:32">
      <c r="AF631" s="33"/>
    </row>
    <row r="632" spans="32:32">
      <c r="AF632" s="33"/>
    </row>
    <row r="633" spans="32:32">
      <c r="AF633" s="33"/>
    </row>
    <row r="634" spans="32:32">
      <c r="AF634" s="33"/>
    </row>
    <row r="635" spans="32:32">
      <c r="AF635" s="33"/>
    </row>
    <row r="636" spans="32:32">
      <c r="AF636" s="33"/>
    </row>
    <row r="637" spans="32:32">
      <c r="AF637" s="33"/>
    </row>
    <row r="638" spans="32:32">
      <c r="AF638" s="33"/>
    </row>
    <row r="639" spans="32:32">
      <c r="AF639" s="33"/>
    </row>
    <row r="640" spans="32:32">
      <c r="AF640" s="33"/>
    </row>
    <row r="641" spans="32:32">
      <c r="AF641" s="33"/>
    </row>
    <row r="642" spans="32:32">
      <c r="AF642" s="33"/>
    </row>
    <row r="643" spans="32:32">
      <c r="AF643" s="33"/>
    </row>
    <row r="644" spans="32:32">
      <c r="AF644" s="33"/>
    </row>
    <row r="645" spans="32:32">
      <c r="AF645" s="33"/>
    </row>
    <row r="646" spans="32:32">
      <c r="AF646" s="33"/>
    </row>
    <row r="647" spans="32:32">
      <c r="AF647" s="33"/>
    </row>
    <row r="648" spans="32:32">
      <c r="AF648" s="33"/>
    </row>
    <row r="649" spans="32:32">
      <c r="AF649" s="33"/>
    </row>
    <row r="650" spans="32:32">
      <c r="AF650" s="33"/>
    </row>
    <row r="651" spans="32:32">
      <c r="AF651" s="33"/>
    </row>
    <row r="652" spans="32:32">
      <c r="AF652" s="33"/>
    </row>
    <row r="653" spans="32:32">
      <c r="AF653" s="33"/>
    </row>
    <row r="654" spans="32:32">
      <c r="AF654" s="33"/>
    </row>
    <row r="655" spans="32:32">
      <c r="AF655" s="33"/>
    </row>
    <row r="656" spans="32:32">
      <c r="AF656" s="33"/>
    </row>
    <row r="657" spans="32:32">
      <c r="AF657" s="33"/>
    </row>
    <row r="658" spans="32:32">
      <c r="AF658" s="33"/>
    </row>
    <row r="659" spans="32:32">
      <c r="AF659" s="33"/>
    </row>
    <row r="660" spans="32:32">
      <c r="AF660" s="33"/>
    </row>
    <row r="661" spans="32:32">
      <c r="AF661" s="33"/>
    </row>
    <row r="662" spans="32:32">
      <c r="AF662" s="33"/>
    </row>
    <row r="663" spans="32:32">
      <c r="AF663" s="33"/>
    </row>
    <row r="664" spans="32:32">
      <c r="AF664" s="33"/>
    </row>
    <row r="665" spans="32:32">
      <c r="AF665" s="33"/>
    </row>
    <row r="666" spans="32:32">
      <c r="AF666" s="33"/>
    </row>
    <row r="667" spans="32:32">
      <c r="AF667" s="33"/>
    </row>
    <row r="668" spans="32:32">
      <c r="AF668" s="33"/>
    </row>
    <row r="669" spans="32:32">
      <c r="AF669" s="33"/>
    </row>
    <row r="670" spans="32:32">
      <c r="AF670" s="33"/>
    </row>
    <row r="671" spans="32:32">
      <c r="AF671" s="33"/>
    </row>
    <row r="672" spans="32:32">
      <c r="AF672" s="33"/>
    </row>
    <row r="673" spans="32:32">
      <c r="AF673" s="33"/>
    </row>
    <row r="674" spans="32:32">
      <c r="AF674" s="33"/>
    </row>
    <row r="675" spans="32:32">
      <c r="AF675" s="33"/>
    </row>
    <row r="676" spans="32:32">
      <c r="AF676" s="33"/>
    </row>
    <row r="677" spans="32:32">
      <c r="AF677" s="33"/>
    </row>
    <row r="678" spans="32:32">
      <c r="AF678" s="33"/>
    </row>
    <row r="679" spans="32:32">
      <c r="AF679" s="33"/>
    </row>
    <row r="680" spans="32:32">
      <c r="AF680" s="33"/>
    </row>
    <row r="681" spans="32:32">
      <c r="AF681" s="33"/>
    </row>
    <row r="682" spans="32:32">
      <c r="AF682" s="33"/>
    </row>
    <row r="683" spans="32:32">
      <c r="AF683" s="33"/>
    </row>
    <row r="684" spans="32:32">
      <c r="AF684" s="33"/>
    </row>
    <row r="685" spans="32:32">
      <c r="AF685" s="33"/>
    </row>
    <row r="686" spans="32:32">
      <c r="AF686" s="33"/>
    </row>
    <row r="687" spans="32:32">
      <c r="AF687" s="33"/>
    </row>
    <row r="688" spans="32:32">
      <c r="AF688" s="33"/>
    </row>
    <row r="689" spans="32:32">
      <c r="AF689" s="33"/>
    </row>
    <row r="690" spans="32:32">
      <c r="AF690" s="33"/>
    </row>
    <row r="691" spans="32:32">
      <c r="AF691" s="33"/>
    </row>
    <row r="692" spans="32:32">
      <c r="AF692" s="33"/>
    </row>
    <row r="693" spans="32:32">
      <c r="AF693" s="33"/>
    </row>
    <row r="694" spans="32:32">
      <c r="AF694" s="33"/>
    </row>
    <row r="695" spans="32:32">
      <c r="AF695" s="33"/>
    </row>
    <row r="696" spans="32:32">
      <c r="AF696" s="33"/>
    </row>
    <row r="697" spans="32:32">
      <c r="AF697" s="33"/>
    </row>
    <row r="698" spans="32:32">
      <c r="AF698" s="33"/>
    </row>
    <row r="699" spans="32:32">
      <c r="AF699" s="33"/>
    </row>
    <row r="700" spans="32:32">
      <c r="AF700" s="33"/>
    </row>
    <row r="701" spans="32:32">
      <c r="AF701" s="33"/>
    </row>
    <row r="702" spans="32:32">
      <c r="AF702" s="33"/>
    </row>
    <row r="703" spans="32:32">
      <c r="AF703" s="33"/>
    </row>
    <row r="704" spans="32:32">
      <c r="AF704" s="33"/>
    </row>
    <row r="705" spans="32:32">
      <c r="AF705" s="33"/>
    </row>
    <row r="706" spans="32:32">
      <c r="AF706" s="33"/>
    </row>
    <row r="707" spans="32:32">
      <c r="AF707" s="33"/>
    </row>
    <row r="708" spans="32:32">
      <c r="AF708" s="33"/>
    </row>
    <row r="709" spans="32:32">
      <c r="AF709" s="33"/>
    </row>
    <row r="710" spans="32:32">
      <c r="AF710" s="33"/>
    </row>
    <row r="711" spans="32:32">
      <c r="AF711" s="33"/>
    </row>
    <row r="712" spans="32:32">
      <c r="AF712" s="33"/>
    </row>
    <row r="713" spans="32:32">
      <c r="AF713" s="33"/>
    </row>
    <row r="714" spans="32:32">
      <c r="AF714" s="33"/>
    </row>
    <row r="715" spans="32:32">
      <c r="AF715" s="33"/>
    </row>
    <row r="716" spans="32:32">
      <c r="AF716" s="33"/>
    </row>
    <row r="717" spans="32:32">
      <c r="AF717" s="33"/>
    </row>
    <row r="718" spans="32:32">
      <c r="AF718" s="33"/>
    </row>
    <row r="719" spans="32:32">
      <c r="AF719" s="33"/>
    </row>
    <row r="720" spans="32:32">
      <c r="AF720" s="33"/>
    </row>
    <row r="721" spans="32:32">
      <c r="AF721" s="33"/>
    </row>
    <row r="722" spans="32:32">
      <c r="AF722" s="33"/>
    </row>
    <row r="723" spans="32:32">
      <c r="AF723" s="33"/>
    </row>
    <row r="724" spans="32:32">
      <c r="AF724" s="33"/>
    </row>
    <row r="725" spans="32:32">
      <c r="AF725" s="33"/>
    </row>
    <row r="726" spans="32:32">
      <c r="AF726" s="33"/>
    </row>
    <row r="727" spans="32:32">
      <c r="AF727" s="33"/>
    </row>
    <row r="728" spans="32:32">
      <c r="AF728" s="33"/>
    </row>
    <row r="729" spans="32:32">
      <c r="AF729" s="33"/>
    </row>
    <row r="730" spans="32:32">
      <c r="AF730" s="33"/>
    </row>
    <row r="731" spans="32:32">
      <c r="AF731" s="33"/>
    </row>
    <row r="732" spans="32:32">
      <c r="AF732" s="33"/>
    </row>
    <row r="733" spans="32:32">
      <c r="AF733" s="33"/>
    </row>
    <row r="734" spans="32:32">
      <c r="AF734" s="33"/>
    </row>
    <row r="735" spans="32:32">
      <c r="AF735" s="33"/>
    </row>
    <row r="736" spans="32:32">
      <c r="AF736" s="33"/>
    </row>
    <row r="737" spans="32:32">
      <c r="AF737" s="33"/>
    </row>
    <row r="738" spans="32:32">
      <c r="AF738" s="33"/>
    </row>
    <row r="739" spans="32:32">
      <c r="AF739" s="33"/>
    </row>
    <row r="740" spans="32:32">
      <c r="AF740" s="33"/>
    </row>
    <row r="741" spans="32:32">
      <c r="AF741" s="33"/>
    </row>
    <row r="742" spans="32:32">
      <c r="AF742" s="33"/>
    </row>
    <row r="743" spans="32:32">
      <c r="AF743" s="33"/>
    </row>
    <row r="744" spans="32:32">
      <c r="AF744" s="33"/>
    </row>
    <row r="745" spans="32:32">
      <c r="AF745" s="33"/>
    </row>
    <row r="746" spans="32:32">
      <c r="AF746" s="33"/>
    </row>
    <row r="747" spans="32:32">
      <c r="AF747" s="33"/>
    </row>
    <row r="748" spans="32:32">
      <c r="AF748" s="33"/>
    </row>
    <row r="749" spans="32:32">
      <c r="AF749" s="33"/>
    </row>
    <row r="750" spans="32:32">
      <c r="AF750" s="33"/>
    </row>
    <row r="751" spans="32:32">
      <c r="AF751" s="33"/>
    </row>
    <row r="752" spans="32:32">
      <c r="AF752" s="33"/>
    </row>
    <row r="753" spans="32:32">
      <c r="AF753" s="33"/>
    </row>
    <row r="754" spans="32:32">
      <c r="AF754" s="33"/>
    </row>
    <row r="755" spans="32:32">
      <c r="AF755" s="33"/>
    </row>
    <row r="756" spans="32:32">
      <c r="AF756" s="33"/>
    </row>
    <row r="757" spans="32:32">
      <c r="AF757" s="33"/>
    </row>
    <row r="758" spans="32:32">
      <c r="AF758" s="33"/>
    </row>
    <row r="759" spans="32:32">
      <c r="AF759" s="33"/>
    </row>
    <row r="760" spans="32:32">
      <c r="AF760" s="33"/>
    </row>
    <row r="761" spans="32:32">
      <c r="AF761" s="33"/>
    </row>
    <row r="762" spans="32:32">
      <c r="AF762" s="33"/>
    </row>
    <row r="763" spans="32:32">
      <c r="AF763" s="33"/>
    </row>
    <row r="764" spans="32:32">
      <c r="AF764" s="33"/>
    </row>
    <row r="765" spans="32:32">
      <c r="AF765" s="33"/>
    </row>
    <row r="766" spans="32:32">
      <c r="AF766" s="33"/>
    </row>
    <row r="767" spans="32:32">
      <c r="AF767" s="33"/>
    </row>
    <row r="768" spans="32:32">
      <c r="AF768" s="33"/>
    </row>
    <row r="769" spans="32:32">
      <c r="AF769" s="33"/>
    </row>
    <row r="770" spans="32:32">
      <c r="AF770" s="33"/>
    </row>
    <row r="771" spans="32:32">
      <c r="AF771" s="33"/>
    </row>
    <row r="772" spans="32:32">
      <c r="AF772" s="33"/>
    </row>
    <row r="773" spans="32:32">
      <c r="AF773" s="33"/>
    </row>
    <row r="774" spans="32:32">
      <c r="AF774" s="33"/>
    </row>
    <row r="775" spans="32:32">
      <c r="AF775" s="33"/>
    </row>
    <row r="776" spans="32:32">
      <c r="AF776" s="33"/>
    </row>
    <row r="777" spans="32:32">
      <c r="AF777" s="33"/>
    </row>
    <row r="778" spans="32:32">
      <c r="AF778" s="33"/>
    </row>
    <row r="779" spans="32:32">
      <c r="AF779" s="33"/>
    </row>
    <row r="780" spans="32:32">
      <c r="AF780" s="33"/>
    </row>
    <row r="781" spans="32:32">
      <c r="AF781" s="33"/>
    </row>
    <row r="782" spans="32:32">
      <c r="AF782" s="33"/>
    </row>
    <row r="783" spans="32:32">
      <c r="AF783" s="33"/>
    </row>
    <row r="784" spans="32:32">
      <c r="AF784" s="33"/>
    </row>
    <row r="785" spans="32:32">
      <c r="AF785" s="33"/>
    </row>
    <row r="786" spans="32:32">
      <c r="AF786" s="33"/>
    </row>
    <row r="787" spans="32:32">
      <c r="AF787" s="33"/>
    </row>
    <row r="788" spans="32:32">
      <c r="AF788" s="33"/>
    </row>
    <row r="789" spans="32:32">
      <c r="AF789" s="33"/>
    </row>
    <row r="790" spans="32:32">
      <c r="AF790" s="33"/>
    </row>
    <row r="791" spans="32:32">
      <c r="AF791" s="33"/>
    </row>
    <row r="792" spans="32:32">
      <c r="AF792" s="33"/>
    </row>
    <row r="793" spans="32:32">
      <c r="AF793" s="33"/>
    </row>
    <row r="794" spans="32:32">
      <c r="AF794" s="33"/>
    </row>
    <row r="795" spans="32:32">
      <c r="AF795" s="33"/>
    </row>
    <row r="796" spans="32:32">
      <c r="AF796" s="33"/>
    </row>
    <row r="797" spans="32:32">
      <c r="AF797" s="33"/>
    </row>
    <row r="798" spans="32:32">
      <c r="AF798" s="33"/>
    </row>
    <row r="799" spans="32:32">
      <c r="AF799" s="33"/>
    </row>
    <row r="800" spans="32:32">
      <c r="AF800" s="33"/>
    </row>
    <row r="801" spans="32:32">
      <c r="AF801" s="33"/>
    </row>
    <row r="802" spans="32:32">
      <c r="AF802" s="33"/>
    </row>
    <row r="803" spans="32:32">
      <c r="AF803" s="33"/>
    </row>
    <row r="804" spans="32:32">
      <c r="AF804" s="33"/>
    </row>
    <row r="805" spans="32:32">
      <c r="AF805" s="33"/>
    </row>
    <row r="806" spans="32:32">
      <c r="AF806" s="33"/>
    </row>
    <row r="807" spans="32:32">
      <c r="AF807" s="33"/>
    </row>
    <row r="808" spans="32:32">
      <c r="AF808" s="33"/>
    </row>
    <row r="809" spans="32:32">
      <c r="AF809" s="33"/>
    </row>
    <row r="810" spans="32:32">
      <c r="AF810" s="33"/>
    </row>
    <row r="811" spans="32:32">
      <c r="AF811" s="33"/>
    </row>
    <row r="812" spans="32:32">
      <c r="AF812" s="33"/>
    </row>
    <row r="813" spans="32:32">
      <c r="AF813" s="33"/>
    </row>
    <row r="814" spans="32:32">
      <c r="AF814" s="33"/>
    </row>
    <row r="815" spans="32:32">
      <c r="AF815" s="33"/>
    </row>
    <row r="816" spans="32:32">
      <c r="AF816" s="33"/>
    </row>
    <row r="817" spans="32:32">
      <c r="AF817" s="33"/>
    </row>
    <row r="818" spans="32:32">
      <c r="AF818" s="33"/>
    </row>
    <row r="819" spans="32:32">
      <c r="AF819" s="33"/>
    </row>
    <row r="820" spans="32:32">
      <c r="AF820" s="33"/>
    </row>
    <row r="821" spans="32:32">
      <c r="AF821" s="33"/>
    </row>
    <row r="822" spans="32:32">
      <c r="AF822" s="33"/>
    </row>
    <row r="823" spans="32:32">
      <c r="AF823" s="33"/>
    </row>
    <row r="824" spans="32:32">
      <c r="AF824" s="33"/>
    </row>
    <row r="825" spans="32:32">
      <c r="AF825" s="33"/>
    </row>
    <row r="826" spans="32:32">
      <c r="AF826" s="33"/>
    </row>
    <row r="827" spans="32:32">
      <c r="AF827" s="33"/>
    </row>
    <row r="828" spans="32:32">
      <c r="AF828" s="33"/>
    </row>
    <row r="829" spans="32:32">
      <c r="AF829" s="33"/>
    </row>
    <row r="830" spans="32:32">
      <c r="AF830" s="33"/>
    </row>
    <row r="831" spans="32:32">
      <c r="AF831" s="33"/>
    </row>
    <row r="832" spans="32:32">
      <c r="AF832" s="33"/>
    </row>
    <row r="833" spans="32:32">
      <c r="AF833" s="33"/>
    </row>
    <row r="834" spans="32:32">
      <c r="AF834" s="33"/>
    </row>
    <row r="835" spans="32:32">
      <c r="AF835" s="33"/>
    </row>
    <row r="836" spans="32:32">
      <c r="AF836" s="33"/>
    </row>
    <row r="837" spans="32:32">
      <c r="AF837" s="33"/>
    </row>
    <row r="838" spans="32:32">
      <c r="AF838" s="33"/>
    </row>
    <row r="839" spans="32:32">
      <c r="AF839" s="33"/>
    </row>
    <row r="840" spans="32:32">
      <c r="AF840" s="33"/>
    </row>
    <row r="841" spans="32:32">
      <c r="AF841" s="33"/>
    </row>
    <row r="842" spans="32:32">
      <c r="AF842" s="33"/>
    </row>
    <row r="843" spans="32:32">
      <c r="AF843" s="33"/>
    </row>
    <row r="844" spans="32:32">
      <c r="AF844" s="33"/>
    </row>
    <row r="845" spans="32:32">
      <c r="AF845" s="33"/>
    </row>
    <row r="846" spans="32:32">
      <c r="AF846" s="33"/>
    </row>
    <row r="847" spans="32:32">
      <c r="AF847" s="33"/>
    </row>
    <row r="848" spans="32:32">
      <c r="AF848" s="33"/>
    </row>
    <row r="849" spans="32:32">
      <c r="AF849" s="33"/>
    </row>
    <row r="850" spans="32:32">
      <c r="AF850" s="33"/>
    </row>
    <row r="851" spans="32:32">
      <c r="AF851" s="33"/>
    </row>
    <row r="852" spans="32:32">
      <c r="AF852" s="33"/>
    </row>
    <row r="853" spans="32:32">
      <c r="AF853" s="33"/>
    </row>
    <row r="854" spans="32:32">
      <c r="AF854" s="33"/>
    </row>
  </sheetData>
  <sheetProtection formatColumns="0" formatRows="0" insertRows="0" deleteRows="0"/>
  <dataConsolidate/>
  <mergeCells count="20">
    <mergeCell ref="H10:H19"/>
    <mergeCell ref="Q7:S7"/>
    <mergeCell ref="C2:D2"/>
    <mergeCell ref="B7:B8"/>
    <mergeCell ref="C7:D8"/>
    <mergeCell ref="E7:G8"/>
    <mergeCell ref="H7:H8"/>
    <mergeCell ref="I7:I8"/>
    <mergeCell ref="J7:J8"/>
    <mergeCell ref="K7:K8"/>
    <mergeCell ref="L7:L8"/>
    <mergeCell ref="M7:M8"/>
    <mergeCell ref="N7:P7"/>
    <mergeCell ref="AC7:AE7"/>
    <mergeCell ref="T7:V7"/>
    <mergeCell ref="W7:W8"/>
    <mergeCell ref="X7:X8"/>
    <mergeCell ref="Y7:Y8"/>
    <mergeCell ref="Z7:Z8"/>
    <mergeCell ref="AA7:AA8"/>
  </mergeCells>
  <phoneticPr fontId="1"/>
  <conditionalFormatting sqref="B20:AA156 B10:G19 J10:AA19">
    <cfRule type="expression" dxfId="15" priority="9">
      <formula>AND($D10&lt;&gt;"",$AA10&lt;&gt;"")</formula>
    </cfRule>
    <cfRule type="expression" dxfId="14" priority="10">
      <formula>$AA10&lt;&gt;""</formula>
    </cfRule>
  </conditionalFormatting>
  <conditionalFormatting sqref="I10:I15 I19">
    <cfRule type="expression" dxfId="13" priority="5">
      <formula>AND($D10&lt;&gt;"",$AA10&lt;&gt;"")</formula>
    </cfRule>
    <cfRule type="expression" dxfId="12" priority="6">
      <formula>$AA10&lt;&gt;""</formula>
    </cfRule>
  </conditionalFormatting>
  <conditionalFormatting sqref="I17:I18">
    <cfRule type="expression" dxfId="11" priority="7">
      <formula>AND($D16&lt;&gt;"",$AA16&lt;&gt;"")</formula>
    </cfRule>
    <cfRule type="expression" dxfId="10" priority="8">
      <formula>$AA16&lt;&gt;""</formula>
    </cfRule>
  </conditionalFormatting>
  <conditionalFormatting sqref="I16">
    <cfRule type="expression" dxfId="9" priority="3">
      <formula>AND($D15&lt;&gt;"",$AA15&lt;&gt;"")</formula>
    </cfRule>
    <cfRule type="expression" dxfId="8" priority="4">
      <formula>$AA15&lt;&gt;""</formula>
    </cfRule>
  </conditionalFormatting>
  <conditionalFormatting sqref="H10">
    <cfRule type="expression" dxfId="7" priority="1">
      <formula>AND($D10&lt;&gt;"",$AA10&lt;&gt;"")</formula>
    </cfRule>
    <cfRule type="expression" dxfId="6" priority="2">
      <formula>$AA10&lt;&gt;""</formula>
    </cfRule>
  </conditionalFormatting>
  <dataValidations count="3">
    <dataValidation allowBlank="1" showDropDown="1" showInputMessage="1" showErrorMessage="1" sqref="M10:M156" xr:uid="{B1BFD15C-4BCC-43A7-A93E-92ED297DA848}"/>
    <dataValidation type="list" allowBlank="1" showInputMessage="1" showErrorMessage="1" sqref="G2:H2" xr:uid="{843272AE-B3BB-45D0-9093-45E21E0C9CBB}">
      <formula1>"ＰｒｅｐａｉｄＣｕｂｅ＋,ＤｅｂｉｔＣｕｂｅ＋"</formula1>
    </dataValidation>
    <dataValidation type="list" allowBlank="1" showInputMessage="1" showErrorMessage="1" sqref="E2:F2" xr:uid="{24FD14FF-26BB-4435-8168-E909771B96DD}">
      <formula1>サービス種別</formula1>
    </dataValidation>
  </dataValidations>
  <pageMargins left="0.15748031496062992" right="0.15748031496062992" top="0.39370078740157483" bottom="0.39370078740157483" header="0.11811023622047245" footer="0.11811023622047245"/>
  <pageSetup paperSize="9" scale="45" fitToHeight="0" orientation="landscape" r:id="rId1"/>
  <headerFooter alignWithMargins="0">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IN_日付チェック" altText="日付チェック">
                <anchor moveWithCells="1" sizeWithCells="1">
                  <from>
                    <xdr:col>1</xdr:col>
                    <xdr:colOff>63500</xdr:colOff>
                    <xdr:row>3</xdr:row>
                    <xdr:rowOff>63500</xdr:rowOff>
                  </from>
                  <to>
                    <xdr:col>3</xdr:col>
                    <xdr:colOff>304800</xdr:colOff>
                    <xdr:row>4</xdr:row>
                    <xdr:rowOff>215900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25F85-3B32-4030-B649-EC76F8695DA0}">
  <sheetPr codeName="Sheet4">
    <pageSetUpPr fitToPage="1"/>
  </sheetPr>
  <dimension ref="A2:Q18"/>
  <sheetViews>
    <sheetView showGridLines="0" topLeftCell="B1" zoomScaleNormal="100" workbookViewId="0">
      <selection activeCell="C14" sqref="C14"/>
    </sheetView>
  </sheetViews>
  <sheetFormatPr baseColWidth="10" defaultColWidth="9" defaultRowHeight="20"/>
  <cols>
    <col min="1" max="1" width="5.33203125" style="3" customWidth="1"/>
    <col min="2" max="2" width="16.1640625" style="2" customWidth="1"/>
    <col min="3" max="3" width="57.5" style="2" customWidth="1"/>
    <col min="4" max="4" width="17.33203125" style="2" customWidth="1"/>
    <col min="5" max="5" width="41.33203125" style="2" customWidth="1"/>
    <col min="6" max="6" width="12" style="2" customWidth="1"/>
    <col min="7" max="7" width="13.1640625" style="2" customWidth="1"/>
    <col min="8" max="8" width="10" style="2" customWidth="1"/>
    <col min="9" max="9" width="13.33203125" style="2" customWidth="1"/>
    <col min="10" max="10" width="11.33203125" style="2" customWidth="1"/>
    <col min="11" max="11" width="11.83203125" style="2" customWidth="1"/>
    <col min="12" max="12" width="9" style="2"/>
    <col min="13" max="13" width="13.33203125" style="2" customWidth="1"/>
    <col min="14" max="14" width="23" style="2" customWidth="1"/>
    <col min="15" max="17" width="9" style="2"/>
    <col min="18" max="18" width="0.83203125" style="2" customWidth="1"/>
    <col min="19" max="16384" width="9" style="2"/>
  </cols>
  <sheetData>
    <row r="2" spans="1:17" ht="19">
      <c r="A2" s="1" t="s">
        <v>5</v>
      </c>
    </row>
    <row r="3" spans="1:17" ht="4.5" customHeight="1" thickBot="1">
      <c r="P3" s="10"/>
      <c r="Q3" s="10"/>
    </row>
    <row r="4" spans="1:17" ht="21.75" customHeight="1" thickTop="1">
      <c r="B4" s="180" t="s">
        <v>6</v>
      </c>
      <c r="C4" s="183" t="s">
        <v>358</v>
      </c>
      <c r="D4" s="182" t="s">
        <v>7</v>
      </c>
      <c r="E4" s="178" t="s">
        <v>178</v>
      </c>
      <c r="F4" s="4" t="s">
        <v>8</v>
      </c>
      <c r="G4" s="176" t="s">
        <v>377</v>
      </c>
      <c r="H4" s="5" t="s">
        <v>9</v>
      </c>
      <c r="I4" s="175">
        <v>44419</v>
      </c>
      <c r="J4" s="4" t="s">
        <v>10</v>
      </c>
      <c r="K4" s="181"/>
      <c r="L4" s="5" t="s">
        <v>11</v>
      </c>
      <c r="M4" s="175"/>
      <c r="O4" s="9"/>
      <c r="P4" s="297" t="s">
        <v>25</v>
      </c>
      <c r="Q4" s="298"/>
    </row>
    <row r="5" spans="1:17" ht="21.75" customHeight="1" thickBot="1">
      <c r="B5" s="180" t="s">
        <v>345</v>
      </c>
      <c r="C5" s="179" t="s">
        <v>408</v>
      </c>
      <c r="D5" s="177" t="s">
        <v>12</v>
      </c>
      <c r="E5" s="178" t="s">
        <v>177</v>
      </c>
      <c r="F5" s="177" t="s">
        <v>28</v>
      </c>
      <c r="G5" s="301" t="s">
        <v>31</v>
      </c>
      <c r="H5" s="302"/>
      <c r="I5" s="303"/>
      <c r="J5" s="4" t="s">
        <v>13</v>
      </c>
      <c r="K5" s="176"/>
      <c r="L5" s="5" t="s">
        <v>14</v>
      </c>
      <c r="M5" s="175"/>
      <c r="O5" s="9"/>
      <c r="P5" s="299"/>
      <c r="Q5" s="300"/>
    </row>
    <row r="6" spans="1:17" ht="4.5" customHeight="1" thickTop="1"/>
    <row r="8" spans="1:17">
      <c r="C8" s="14"/>
      <c r="G8" s="14" t="s">
        <v>40</v>
      </c>
    </row>
    <row r="9" spans="1:17">
      <c r="A9" s="13"/>
      <c r="G9" s="2" t="s">
        <v>30</v>
      </c>
    </row>
    <row r="10" spans="1:17">
      <c r="A10" s="13"/>
      <c r="G10" s="2" t="s">
        <v>31</v>
      </c>
    </row>
    <row r="11" spans="1:17">
      <c r="G11" s="2" t="s">
        <v>32</v>
      </c>
    </row>
    <row r="12" spans="1:17">
      <c r="G12" s="2" t="s">
        <v>33</v>
      </c>
    </row>
    <row r="13" spans="1:17">
      <c r="G13" s="2" t="s">
        <v>34</v>
      </c>
    </row>
    <row r="14" spans="1:17">
      <c r="G14" s="2" t="s">
        <v>35</v>
      </c>
    </row>
    <row r="15" spans="1:17">
      <c r="G15" s="2" t="s">
        <v>36</v>
      </c>
    </row>
    <row r="16" spans="1:17">
      <c r="G16" s="2" t="s">
        <v>37</v>
      </c>
    </row>
    <row r="17" spans="7:7">
      <c r="G17" s="2" t="s">
        <v>38</v>
      </c>
    </row>
    <row r="18" spans="7:7">
      <c r="G18" s="2" t="s">
        <v>39</v>
      </c>
    </row>
  </sheetData>
  <mergeCells count="2">
    <mergeCell ref="P4:Q5"/>
    <mergeCell ref="G5:I5"/>
  </mergeCells>
  <phoneticPr fontId="1"/>
  <dataValidations count="1">
    <dataValidation type="list" allowBlank="1" showInputMessage="1" showErrorMessage="1" sqref="G5:I5" xr:uid="{00000000-0002-0000-0300-000000000000}">
      <formula1>テスト分類</formula1>
    </dataValidation>
  </dataValidations>
  <pageMargins left="0.70866141732283472" right="0.70866141732283472" top="0.74803149606299213" bottom="0.74803149606299213" header="0.31496062992125984" footer="0.31496062992125984"/>
  <pageSetup paperSize="9" scale="4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S93"/>
  <sheetViews>
    <sheetView showGridLines="0" topLeftCell="A61" zoomScaleNormal="100" workbookViewId="0"/>
  </sheetViews>
  <sheetFormatPr baseColWidth="10" defaultColWidth="4.6640625" defaultRowHeight="20"/>
  <cols>
    <col min="1" max="1" width="4.6640625" style="3"/>
    <col min="2" max="16384" width="4.6640625" style="11"/>
  </cols>
  <sheetData>
    <row r="1" spans="1:11" ht="15" customHeight="1"/>
    <row r="2" spans="1:11" ht="23">
      <c r="A2" s="11"/>
      <c r="B2" s="6" t="s">
        <v>22</v>
      </c>
      <c r="C2" s="6"/>
      <c r="D2" s="6"/>
      <c r="E2" s="6"/>
    </row>
    <row r="3" spans="1:11" ht="15" customHeight="1"/>
    <row r="4" spans="1:11" ht="15" customHeight="1"/>
    <row r="5" spans="1:11" ht="15" customHeight="1">
      <c r="C5" s="7" t="s">
        <v>129</v>
      </c>
    </row>
    <row r="6" spans="1:11" ht="15" customHeight="1"/>
    <row r="7" spans="1:11" ht="16">
      <c r="A7" s="11"/>
      <c r="D7" s="7" t="s">
        <v>41</v>
      </c>
      <c r="H7" s="7" t="s">
        <v>103</v>
      </c>
      <c r="K7" s="7" t="s">
        <v>104</v>
      </c>
    </row>
    <row r="8" spans="1:11" ht="16">
      <c r="A8" s="11"/>
      <c r="D8" s="11" t="s">
        <v>105</v>
      </c>
      <c r="H8" s="11" t="s">
        <v>106</v>
      </c>
      <c r="K8" s="11" t="s">
        <v>107</v>
      </c>
    </row>
    <row r="9" spans="1:11" ht="16">
      <c r="A9" s="11"/>
      <c r="D9" s="11" t="s">
        <v>123</v>
      </c>
      <c r="H9" s="11" t="s">
        <v>106</v>
      </c>
      <c r="K9" s="11" t="s">
        <v>124</v>
      </c>
    </row>
    <row r="10" spans="1:11" ht="16">
      <c r="A10" s="11"/>
      <c r="D10" s="11" t="s">
        <v>108</v>
      </c>
      <c r="H10" s="11" t="s">
        <v>106</v>
      </c>
      <c r="K10" s="11" t="s">
        <v>109</v>
      </c>
    </row>
    <row r="11" spans="1:11" ht="16">
      <c r="A11" s="11"/>
      <c r="D11" s="11" t="s">
        <v>110</v>
      </c>
      <c r="H11" s="11" t="s">
        <v>106</v>
      </c>
      <c r="K11" s="11" t="s">
        <v>111</v>
      </c>
    </row>
    <row r="12" spans="1:11" ht="16">
      <c r="A12" s="11"/>
      <c r="D12" s="11" t="s">
        <v>112</v>
      </c>
      <c r="H12" s="11" t="s">
        <v>113</v>
      </c>
      <c r="K12" s="11" t="s">
        <v>114</v>
      </c>
    </row>
    <row r="13" spans="1:11" ht="16">
      <c r="A13" s="11"/>
      <c r="D13" s="11" t="s">
        <v>115</v>
      </c>
      <c r="H13" s="11" t="s">
        <v>113</v>
      </c>
      <c r="K13" s="11" t="s">
        <v>171</v>
      </c>
    </row>
    <row r="14" spans="1:11" ht="16">
      <c r="A14" s="11"/>
    </row>
    <row r="15" spans="1:11" ht="16">
      <c r="A15" s="11"/>
      <c r="D15" s="7" t="s">
        <v>91</v>
      </c>
    </row>
    <row r="16" spans="1:11" ht="16">
      <c r="A16" s="11"/>
      <c r="D16" s="11" t="s">
        <v>92</v>
      </c>
    </row>
    <row r="17" spans="1:11" ht="16">
      <c r="A17" s="11"/>
      <c r="E17" s="11" t="s">
        <v>93</v>
      </c>
    </row>
    <row r="18" spans="1:11" ht="16">
      <c r="A18" s="11"/>
      <c r="E18" s="11" t="s">
        <v>94</v>
      </c>
    </row>
    <row r="19" spans="1:11" ht="16">
      <c r="A19" s="11"/>
      <c r="D19" s="11" t="s">
        <v>95</v>
      </c>
    </row>
    <row r="20" spans="1:11" ht="16">
      <c r="A20" s="11"/>
      <c r="D20" s="7"/>
    </row>
    <row r="21" spans="1:11" ht="16">
      <c r="A21" s="11"/>
    </row>
    <row r="22" spans="1:11" ht="16">
      <c r="A22" s="11"/>
      <c r="C22" s="7" t="s">
        <v>130</v>
      </c>
    </row>
    <row r="23" spans="1:11" ht="16">
      <c r="A23" s="11"/>
    </row>
    <row r="24" spans="1:11" ht="16">
      <c r="A24" s="11"/>
      <c r="D24" s="7" t="s">
        <v>132</v>
      </c>
    </row>
    <row r="25" spans="1:11" ht="16">
      <c r="A25" s="11"/>
      <c r="D25" s="7"/>
      <c r="E25" s="145" t="s">
        <v>140</v>
      </c>
    </row>
    <row r="26" spans="1:11" ht="16">
      <c r="A26" s="11"/>
      <c r="D26" s="7"/>
      <c r="E26" s="11" t="s">
        <v>141</v>
      </c>
    </row>
    <row r="27" spans="1:11" ht="16">
      <c r="A27" s="11"/>
      <c r="D27" s="7"/>
    </row>
    <row r="28" spans="1:11" ht="16">
      <c r="A28" s="11"/>
      <c r="D28" s="7" t="s">
        <v>131</v>
      </c>
    </row>
    <row r="29" spans="1:11" ht="16">
      <c r="A29" s="11"/>
      <c r="E29" s="146" t="s">
        <v>142</v>
      </c>
    </row>
    <row r="30" spans="1:11" ht="16">
      <c r="A30" s="11"/>
      <c r="E30" s="12" t="s">
        <v>133</v>
      </c>
    </row>
    <row r="31" spans="1:11" ht="16">
      <c r="A31" s="11"/>
      <c r="E31" s="12"/>
      <c r="F31" s="12"/>
      <c r="G31" s="11" t="s">
        <v>77</v>
      </c>
      <c r="I31" s="11" t="s">
        <v>78</v>
      </c>
      <c r="K31" s="11" t="s">
        <v>79</v>
      </c>
    </row>
    <row r="32" spans="1:11" ht="16">
      <c r="A32" s="11"/>
      <c r="E32" s="12"/>
      <c r="F32" s="12"/>
      <c r="I32" s="11" t="s">
        <v>80</v>
      </c>
      <c r="K32" s="11" t="s">
        <v>81</v>
      </c>
    </row>
    <row r="33" spans="1:9" ht="16">
      <c r="A33" s="11"/>
      <c r="E33" s="146" t="s">
        <v>134</v>
      </c>
    </row>
    <row r="34" spans="1:9" ht="16">
      <c r="A34" s="11"/>
      <c r="E34" s="146" t="s">
        <v>135</v>
      </c>
    </row>
    <row r="35" spans="1:9" ht="16">
      <c r="A35" s="11"/>
      <c r="E35" s="146" t="s">
        <v>136</v>
      </c>
    </row>
    <row r="36" spans="1:9" ht="16">
      <c r="A36" s="11"/>
      <c r="E36" s="12"/>
      <c r="F36" s="12"/>
      <c r="G36" s="11" t="s">
        <v>137</v>
      </c>
    </row>
    <row r="37" spans="1:9" ht="16">
      <c r="A37" s="11"/>
      <c r="E37" s="12"/>
      <c r="F37" s="12"/>
      <c r="G37" s="11" t="s">
        <v>143</v>
      </c>
    </row>
    <row r="38" spans="1:9" ht="16">
      <c r="A38" s="11"/>
      <c r="E38" s="146" t="s">
        <v>160</v>
      </c>
    </row>
    <row r="39" spans="1:9" ht="16">
      <c r="A39" s="11"/>
      <c r="E39" s="146" t="s">
        <v>144</v>
      </c>
    </row>
    <row r="40" spans="1:9" ht="16">
      <c r="A40" s="11"/>
      <c r="E40" s="12"/>
      <c r="F40" s="12"/>
      <c r="G40" s="11" t="s">
        <v>96</v>
      </c>
      <c r="I40" s="11" t="s">
        <v>97</v>
      </c>
    </row>
    <row r="41" spans="1:9" ht="16">
      <c r="A41" s="11"/>
      <c r="E41" s="12"/>
      <c r="F41" s="12"/>
    </row>
    <row r="42" spans="1:9" ht="16">
      <c r="A42" s="11"/>
      <c r="D42" s="147" t="s">
        <v>145</v>
      </c>
    </row>
    <row r="43" spans="1:9" ht="16">
      <c r="A43" s="11"/>
      <c r="E43" s="146" t="s">
        <v>139</v>
      </c>
    </row>
    <row r="44" spans="1:9" ht="16">
      <c r="A44" s="11"/>
      <c r="E44" s="146" t="s">
        <v>116</v>
      </c>
    </row>
    <row r="45" spans="1:9" ht="16">
      <c r="A45" s="11"/>
      <c r="E45" s="146" t="s">
        <v>138</v>
      </c>
    </row>
    <row r="46" spans="1:9" ht="16">
      <c r="A46" s="11"/>
      <c r="E46" s="12"/>
      <c r="F46" s="12"/>
      <c r="G46" s="11" t="s">
        <v>83</v>
      </c>
      <c r="I46" s="11" t="s">
        <v>84</v>
      </c>
    </row>
    <row r="47" spans="1:9" ht="16">
      <c r="A47" s="11"/>
      <c r="E47" s="12"/>
      <c r="F47" s="12"/>
      <c r="G47" s="11" t="s">
        <v>85</v>
      </c>
      <c r="I47" s="11" t="s">
        <v>86</v>
      </c>
    </row>
    <row r="48" spans="1:9" ht="16">
      <c r="A48" s="11"/>
      <c r="E48" s="12"/>
      <c r="F48" s="12"/>
      <c r="G48" s="11" t="s">
        <v>82</v>
      </c>
      <c r="I48" s="11" t="s">
        <v>87</v>
      </c>
    </row>
    <row r="49" spans="1:11" ht="16">
      <c r="A49" s="11"/>
      <c r="E49" s="12"/>
      <c r="F49" s="12"/>
    </row>
    <row r="50" spans="1:11" ht="16">
      <c r="A50" s="11"/>
      <c r="D50" s="7" t="s">
        <v>146</v>
      </c>
      <c r="E50" s="146"/>
    </row>
    <row r="51" spans="1:11" ht="16">
      <c r="A51" s="11"/>
      <c r="E51" s="146" t="s">
        <v>147</v>
      </c>
    </row>
    <row r="52" spans="1:11" ht="16">
      <c r="A52" s="11"/>
      <c r="E52" s="146" t="s">
        <v>148</v>
      </c>
    </row>
    <row r="53" spans="1:11" ht="16">
      <c r="A53" s="11"/>
      <c r="E53" s="12"/>
      <c r="F53" s="12"/>
      <c r="G53" s="11" t="s">
        <v>88</v>
      </c>
      <c r="J53" s="11" t="s">
        <v>77</v>
      </c>
      <c r="K53" s="11" t="s">
        <v>119</v>
      </c>
    </row>
    <row r="54" spans="1:11" ht="16">
      <c r="A54" s="11"/>
      <c r="E54" s="12"/>
      <c r="F54" s="12"/>
      <c r="G54" s="11" t="s">
        <v>89</v>
      </c>
      <c r="J54" s="11" t="s">
        <v>77</v>
      </c>
      <c r="K54" s="11" t="s">
        <v>120</v>
      </c>
    </row>
    <row r="55" spans="1:11" ht="16">
      <c r="A55" s="11"/>
      <c r="E55" s="12"/>
      <c r="F55" s="12"/>
      <c r="G55" s="11" t="s">
        <v>90</v>
      </c>
      <c r="J55" s="11" t="s">
        <v>117</v>
      </c>
      <c r="K55" s="11" t="s">
        <v>121</v>
      </c>
    </row>
    <row r="56" spans="1:11" ht="16">
      <c r="A56" s="11"/>
      <c r="E56" s="12"/>
      <c r="F56" s="12"/>
      <c r="J56" s="11" t="s">
        <v>118</v>
      </c>
      <c r="K56" s="11" t="s">
        <v>122</v>
      </c>
    </row>
    <row r="57" spans="1:11" ht="16">
      <c r="A57" s="11"/>
      <c r="E57" s="146" t="s">
        <v>149</v>
      </c>
    </row>
    <row r="58" spans="1:11" ht="16">
      <c r="A58" s="11"/>
      <c r="E58" s="12"/>
    </row>
    <row r="59" spans="1:11" ht="16">
      <c r="A59" s="11"/>
      <c r="E59" s="12"/>
    </row>
    <row r="60" spans="1:11" ht="16">
      <c r="A60" s="11"/>
      <c r="C60" s="7" t="s">
        <v>150</v>
      </c>
      <c r="E60" s="12"/>
    </row>
    <row r="61" spans="1:11" ht="16">
      <c r="A61" s="11"/>
      <c r="E61" s="12"/>
    </row>
    <row r="62" spans="1:11" ht="16">
      <c r="A62" s="11"/>
      <c r="D62" s="7" t="s">
        <v>151</v>
      </c>
    </row>
    <row r="63" spans="1:11" ht="16">
      <c r="A63" s="11"/>
      <c r="E63" s="11" t="s">
        <v>154</v>
      </c>
      <c r="H63" s="11" t="s">
        <v>128</v>
      </c>
    </row>
    <row r="64" spans="1:11" ht="16">
      <c r="A64" s="11"/>
      <c r="E64" s="11" t="s">
        <v>155</v>
      </c>
      <c r="H64" s="11" t="s">
        <v>126</v>
      </c>
    </row>
    <row r="65" spans="1:16" ht="16">
      <c r="A65" s="11"/>
      <c r="E65" s="144"/>
      <c r="G65" s="144"/>
    </row>
    <row r="66" spans="1:16" ht="16">
      <c r="A66" s="11"/>
      <c r="D66" s="7" t="s">
        <v>152</v>
      </c>
    </row>
    <row r="67" spans="1:16" ht="16">
      <c r="A67" s="11"/>
      <c r="D67" s="7"/>
      <c r="E67" s="11" t="s">
        <v>156</v>
      </c>
    </row>
    <row r="68" spans="1:16" ht="16">
      <c r="A68" s="11"/>
      <c r="E68" s="11" t="s">
        <v>157</v>
      </c>
    </row>
    <row r="69" spans="1:16" ht="16">
      <c r="A69" s="11"/>
      <c r="G69" s="11" t="s">
        <v>125</v>
      </c>
    </row>
    <row r="70" spans="1:16" ht="16">
      <c r="A70" s="11"/>
      <c r="G70" s="11" t="s">
        <v>98</v>
      </c>
    </row>
    <row r="71" spans="1:16" ht="16">
      <c r="A71" s="11"/>
      <c r="H71" s="11" t="s">
        <v>99</v>
      </c>
    </row>
    <row r="72" spans="1:16" ht="16">
      <c r="A72" s="11"/>
      <c r="G72" s="11" t="s">
        <v>71</v>
      </c>
    </row>
    <row r="73" spans="1:16" ht="16">
      <c r="A73" s="11"/>
      <c r="G73" s="11" t="s">
        <v>100</v>
      </c>
    </row>
    <row r="74" spans="1:16" ht="16">
      <c r="A74" s="11"/>
      <c r="H74" s="11" t="s">
        <v>101</v>
      </c>
    </row>
    <row r="75" spans="1:16" ht="16">
      <c r="A75" s="11"/>
      <c r="H75" s="11" t="s">
        <v>102</v>
      </c>
    </row>
    <row r="76" spans="1:16" ht="16">
      <c r="A76" s="11"/>
      <c r="E76" s="11" t="s">
        <v>158</v>
      </c>
    </row>
    <row r="77" spans="1:16" ht="16">
      <c r="A77" s="11"/>
      <c r="E77" s="11" t="s">
        <v>159</v>
      </c>
    </row>
    <row r="78" spans="1:16" ht="16">
      <c r="A78" s="11"/>
    </row>
    <row r="79" spans="1:16" ht="15" customHeight="1">
      <c r="D79" s="7" t="s">
        <v>153</v>
      </c>
    </row>
    <row r="80" spans="1:16" ht="15" customHeight="1">
      <c r="E80" s="11" t="s">
        <v>161</v>
      </c>
      <c r="P80" s="11" t="s">
        <v>162</v>
      </c>
    </row>
    <row r="81" spans="1:19" ht="15" customHeight="1">
      <c r="E81" s="11" t="s">
        <v>163</v>
      </c>
      <c r="P81" s="11" t="s">
        <v>127</v>
      </c>
    </row>
    <row r="82" spans="1:19" ht="15" customHeight="1">
      <c r="E82" s="11" t="s">
        <v>164</v>
      </c>
      <c r="P82" s="11" t="s">
        <v>165</v>
      </c>
    </row>
    <row r="83" spans="1:19" ht="15" customHeight="1"/>
    <row r="84" spans="1:19" ht="15" customHeight="1">
      <c r="E84" s="145" t="s">
        <v>166</v>
      </c>
    </row>
    <row r="85" spans="1:19" ht="15" customHeight="1">
      <c r="F85" s="145" t="s">
        <v>167</v>
      </c>
    </row>
    <row r="86" spans="1:19" ht="15" customHeight="1">
      <c r="F86" s="145" t="s">
        <v>168</v>
      </c>
    </row>
    <row r="87" spans="1:19" ht="15" customHeight="1">
      <c r="A87" s="11"/>
      <c r="F87" s="145" t="s">
        <v>169</v>
      </c>
    </row>
    <row r="88" spans="1:19" ht="15" customHeight="1">
      <c r="A88" s="11"/>
      <c r="F88" s="145" t="s">
        <v>170</v>
      </c>
    </row>
    <row r="89" spans="1:19" ht="15" customHeight="1">
      <c r="A89" s="11"/>
    </row>
    <row r="90" spans="1:19" ht="15" customHeight="1">
      <c r="A90" s="11"/>
    </row>
    <row r="91" spans="1:19" ht="15" customHeight="1">
      <c r="A91" s="11"/>
    </row>
    <row r="92" spans="1:19" s="3" customFormat="1" ht="15" customHeight="1">
      <c r="B92" s="11"/>
      <c r="C92" s="11"/>
      <c r="D92" s="11"/>
      <c r="E92" s="11"/>
      <c r="F92" s="11"/>
      <c r="G92" s="11"/>
      <c r="H92" s="11"/>
      <c r="I92" s="11"/>
      <c r="J92" s="11"/>
      <c r="K92" s="11"/>
      <c r="L92" s="11"/>
      <c r="M92" s="11"/>
      <c r="N92" s="11"/>
      <c r="O92" s="11"/>
      <c r="P92" s="11"/>
      <c r="Q92" s="11"/>
      <c r="R92" s="11"/>
      <c r="S92" s="11"/>
    </row>
    <row r="93" spans="1:19" s="3" customFormat="1" ht="15" customHeight="1">
      <c r="B93" s="11"/>
      <c r="C93" s="11"/>
      <c r="D93" s="11"/>
      <c r="E93" s="11"/>
      <c r="F93" s="11"/>
      <c r="G93" s="11"/>
      <c r="H93" s="11"/>
      <c r="I93" s="11"/>
      <c r="J93" s="11"/>
      <c r="K93" s="11"/>
      <c r="L93" s="11"/>
      <c r="M93" s="11"/>
      <c r="N93" s="11"/>
      <c r="O93" s="11"/>
      <c r="P93" s="11"/>
      <c r="Q93" s="11"/>
      <c r="R93" s="11"/>
      <c r="S93" s="11"/>
    </row>
  </sheetData>
  <phoneticPr fontId="1"/>
  <pageMargins left="0.31496062992125984" right="0.31496062992125984" top="0.35433070866141736" bottom="0.35433070866141736" header="0.31496062992125984" footer="0.11811023622047245"/>
  <pageSetup paperSize="9" scale="63" orientation="portrait" r:id="rId1"/>
  <headerFooter>
    <oddFooter>&amp;P / &amp;N ページ</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5"/>
  <sheetViews>
    <sheetView showGridLines="0" zoomScaleNormal="100" workbookViewId="0"/>
  </sheetViews>
  <sheetFormatPr baseColWidth="10" defaultColWidth="9" defaultRowHeight="20" customHeight="1"/>
  <cols>
    <col min="1" max="1" width="20.6640625" style="22" customWidth="1"/>
    <col min="2" max="2" width="15.6640625" style="22" customWidth="1"/>
    <col min="3" max="16384" width="9" style="22"/>
  </cols>
  <sheetData>
    <row r="1" spans="1:3" ht="20" customHeight="1" thickBot="1">
      <c r="A1" s="20" t="s">
        <v>41</v>
      </c>
      <c r="B1" s="21" t="s">
        <v>53</v>
      </c>
      <c r="C1" s="22" t="s">
        <v>42</v>
      </c>
    </row>
    <row r="2" spans="1:3" ht="20" customHeight="1" thickBot="1">
      <c r="A2" s="20"/>
      <c r="B2" s="23"/>
    </row>
    <row r="3" spans="1:3" ht="20" customHeight="1" thickBot="1">
      <c r="A3" s="20" t="s">
        <v>54</v>
      </c>
      <c r="B3" s="24">
        <v>10</v>
      </c>
    </row>
    <row r="4" spans="1:3" ht="20" customHeight="1">
      <c r="A4" s="20"/>
    </row>
    <row r="5" spans="1:3" ht="20" customHeight="1">
      <c r="A5" s="25" t="s">
        <v>51</v>
      </c>
      <c r="B5" s="25" t="s">
        <v>52</v>
      </c>
    </row>
    <row r="6" spans="1:3" ht="20" customHeight="1">
      <c r="A6" s="26" t="s">
        <v>66</v>
      </c>
      <c r="B6" s="27" t="s">
        <v>57</v>
      </c>
    </row>
    <row r="7" spans="1:3" ht="20" customHeight="1">
      <c r="A7" s="28" t="s">
        <v>43</v>
      </c>
      <c r="B7" s="29" t="s">
        <v>58</v>
      </c>
    </row>
    <row r="8" spans="1:3" ht="20" customHeight="1">
      <c r="A8" s="28" t="s">
        <v>44</v>
      </c>
      <c r="B8" s="29" t="s">
        <v>59</v>
      </c>
    </row>
    <row r="9" spans="1:3" ht="20" customHeight="1">
      <c r="A9" s="28" t="s">
        <v>45</v>
      </c>
      <c r="B9" s="29" t="s">
        <v>60</v>
      </c>
    </row>
    <row r="10" spans="1:3" ht="20" customHeight="1">
      <c r="A10" s="28" t="s">
        <v>46</v>
      </c>
      <c r="B10" s="29" t="s">
        <v>61</v>
      </c>
    </row>
    <row r="11" spans="1:3" ht="20" customHeight="1">
      <c r="A11" s="28" t="s">
        <v>47</v>
      </c>
      <c r="B11" s="29" t="s">
        <v>62</v>
      </c>
    </row>
    <row r="12" spans="1:3" ht="20" customHeight="1">
      <c r="A12" s="28" t="s">
        <v>48</v>
      </c>
      <c r="B12" s="29" t="s">
        <v>63</v>
      </c>
    </row>
    <row r="13" spans="1:3" ht="20" customHeight="1">
      <c r="A13" s="28" t="s">
        <v>49</v>
      </c>
      <c r="B13" s="29" t="s">
        <v>64</v>
      </c>
    </row>
    <row r="14" spans="1:3" ht="20" customHeight="1">
      <c r="A14" s="28" t="s">
        <v>50</v>
      </c>
      <c r="B14" s="29" t="s">
        <v>65</v>
      </c>
    </row>
    <row r="15" spans="1:3" ht="20" customHeight="1">
      <c r="A15" s="30" t="s">
        <v>55</v>
      </c>
      <c r="B15" s="31" t="s">
        <v>56</v>
      </c>
    </row>
  </sheetData>
  <phoneticPr fontId="1"/>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27"/>
  <sheetViews>
    <sheetView zoomScaleNormal="100" workbookViewId="0">
      <pane xSplit="4" ySplit="1" topLeftCell="E2" activePane="bottomRight" state="frozen"/>
      <selection activeCell="E10" sqref="E10"/>
      <selection pane="topRight" activeCell="E10" sqref="E10"/>
      <selection pane="bottomLeft" activeCell="E10" sqref="E10"/>
      <selection pane="bottomRight" activeCell="A2" sqref="A2:D10000"/>
    </sheetView>
  </sheetViews>
  <sheetFormatPr baseColWidth="10" defaultColWidth="9" defaultRowHeight="17" customHeight="1"/>
  <cols>
    <col min="1" max="1" width="25.6640625" style="16" customWidth="1"/>
    <col min="2" max="2" width="10.6640625" style="16" customWidth="1"/>
    <col min="3" max="3" width="31.33203125" style="17" bestFit="1" customWidth="1"/>
    <col min="4" max="4" width="100.6640625" style="16" customWidth="1"/>
    <col min="5" max="16384" width="9" style="8"/>
  </cols>
  <sheetData>
    <row r="1" spans="1:4" ht="17" customHeight="1">
      <c r="A1" s="15" t="s">
        <v>69</v>
      </c>
      <c r="B1" s="15" t="s">
        <v>67</v>
      </c>
      <c r="C1" s="15" t="s">
        <v>70</v>
      </c>
      <c r="D1" s="15" t="s">
        <v>68</v>
      </c>
    </row>
    <row r="2" spans="1:4" ht="17" customHeight="1">
      <c r="B2" s="152"/>
    </row>
    <row r="3" spans="1:4" ht="17" customHeight="1">
      <c r="B3" s="18"/>
    </row>
    <row r="4" spans="1:4" ht="17" customHeight="1">
      <c r="B4" s="18"/>
    </row>
    <row r="5" spans="1:4" ht="17" customHeight="1">
      <c r="B5" s="18"/>
    </row>
    <row r="6" spans="1:4" ht="17" customHeight="1">
      <c r="B6" s="18"/>
    </row>
    <row r="7" spans="1:4" ht="17" customHeight="1">
      <c r="B7" s="18"/>
    </row>
    <row r="8" spans="1:4" ht="17" customHeight="1">
      <c r="B8" s="18"/>
    </row>
    <row r="9" spans="1:4" ht="17" customHeight="1">
      <c r="B9" s="18"/>
    </row>
    <row r="10" spans="1:4" ht="17" customHeight="1">
      <c r="B10" s="18"/>
    </row>
    <row r="11" spans="1:4" ht="17" customHeight="1">
      <c r="B11" s="18"/>
    </row>
    <row r="12" spans="1:4" ht="17" customHeight="1">
      <c r="B12" s="18"/>
    </row>
    <row r="13" spans="1:4" ht="17" customHeight="1">
      <c r="B13" s="18"/>
      <c r="C13" s="19"/>
    </row>
    <row r="14" spans="1:4" ht="17" customHeight="1">
      <c r="B14" s="18"/>
      <c r="C14" s="19"/>
    </row>
    <row r="15" spans="1:4" ht="17" customHeight="1">
      <c r="B15" s="18"/>
    </row>
    <row r="16" spans="1:4" ht="17" customHeight="1">
      <c r="B16" s="18"/>
      <c r="C16" s="19"/>
    </row>
    <row r="17" spans="2:3" ht="17" customHeight="1">
      <c r="B17" s="18"/>
    </row>
    <row r="18" spans="2:3" ht="17" customHeight="1">
      <c r="B18" s="18"/>
      <c r="C18" s="19"/>
    </row>
    <row r="19" spans="2:3" ht="17" customHeight="1">
      <c r="B19" s="18"/>
    </row>
    <row r="20" spans="2:3" ht="17" customHeight="1">
      <c r="B20" s="18"/>
      <c r="C20" s="19"/>
    </row>
    <row r="21" spans="2:3" ht="17" customHeight="1">
      <c r="B21" s="18"/>
    </row>
    <row r="22" spans="2:3" ht="17" customHeight="1">
      <c r="B22" s="18"/>
    </row>
    <row r="23" spans="2:3" ht="17" customHeight="1">
      <c r="B23" s="18"/>
    </row>
    <row r="24" spans="2:3" ht="17" customHeight="1">
      <c r="B24" s="18"/>
    </row>
    <row r="25" spans="2:3" ht="17" customHeight="1">
      <c r="B25" s="18"/>
      <c r="C25" s="19"/>
    </row>
    <row r="26" spans="2:3" ht="17" customHeight="1">
      <c r="B26" s="18"/>
    </row>
    <row r="27" spans="2:3" ht="17" customHeight="1">
      <c r="B27" s="18"/>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6</vt:i4>
      </vt:variant>
      <vt:variant>
        <vt:lpstr>名前付き一覧</vt:lpstr>
      </vt:variant>
      <vt:variant>
        <vt:i4>24</vt:i4>
      </vt:variant>
    </vt:vector>
  </HeadingPairs>
  <TitlesOfParts>
    <vt:vector size="30" baseType="lpstr">
      <vt:lpstr>テストケース　SSO</vt:lpstr>
      <vt:lpstr>サンプル</vt:lpstr>
      <vt:lpstr>ヘッダ</vt:lpstr>
      <vt:lpstr>仕様説明</vt:lpstr>
      <vt:lpstr>Config</vt:lpstr>
      <vt:lpstr>エラー情報</vt:lpstr>
      <vt:lpstr>サンプル!_FilterDatabase</vt:lpstr>
      <vt:lpstr>'テストケース　SSO'!_FilterDatabase</vt:lpstr>
      <vt:lpstr>サンプル!Print_Area</vt:lpstr>
      <vt:lpstr>'テストケース　SSO'!Print_Area</vt:lpstr>
      <vt:lpstr>仕様説明!Print_Area</vt:lpstr>
      <vt:lpstr>サンプル!Print_Titles</vt:lpstr>
      <vt:lpstr>'テストケース　SSO'!Print_Titles</vt:lpstr>
      <vt:lpstr>エラー領域</vt:lpstr>
      <vt:lpstr>シート名</vt:lpstr>
      <vt:lpstr>'テストケース　SSO'!テスト分類</vt:lpstr>
      <vt:lpstr>ヘッダ!テスト分類</vt:lpstr>
      <vt:lpstr>'テストケース　SSO'!明細開始行</vt:lpstr>
      <vt:lpstr>ヘッダ!明細開始行</vt:lpstr>
      <vt:lpstr>明細開始行</vt:lpstr>
      <vt:lpstr>列_テストケースNo</vt:lpstr>
      <vt:lpstr>列_一次検証実績日</vt:lpstr>
      <vt:lpstr>列_一次検証予定日</vt:lpstr>
      <vt:lpstr>列_最終行判断</vt:lpstr>
      <vt:lpstr>列_削除日</vt:lpstr>
      <vt:lpstr>列_三次検証実績日</vt:lpstr>
      <vt:lpstr>列_三次検証予定日</vt:lpstr>
      <vt:lpstr>列_追加日</vt:lpstr>
      <vt:lpstr>列_二次検証実績日</vt:lpstr>
      <vt:lpstr>列_二次検証予定日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dcterms:created xsi:type="dcterms:W3CDTF">2017-09-04T00:39:31Z</dcterms:created>
  <dcterms:modified xsi:type="dcterms:W3CDTF">2021-08-11T15:39:47Z</dcterms:modified>
</cp:coreProperties>
</file>